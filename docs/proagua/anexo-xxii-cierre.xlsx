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toledo\Documents\Proagua 2026\PROYECTO LINEAMIENTOS U074\FORMATOS U074\FORMATOS DEFINITIVOS\"/>
    </mc:Choice>
  </mc:AlternateContent>
  <bookViews>
    <workbookView xWindow="0" yWindow="0" windowWidth="28800" windowHeight="12300"/>
  </bookViews>
  <sheets>
    <sheet name="Cierre de Ejercicio" sheetId="1" r:id="rId1"/>
  </sheets>
  <externalReferences>
    <externalReference r:id="rId2"/>
    <externalReference r:id="rId3"/>
    <externalReference r:id="rId4"/>
    <externalReference r:id="rId5"/>
  </externalReferences>
  <definedNames>
    <definedName name="_4EquipInstru">[1]Catalogos!$AT$29:$AT$32+[1]Catalogos!$AT$29:$AT$32</definedName>
    <definedName name="_xlnm.Print_Area" localSheetId="0">'Cierre de Ejercicio'!$A$1:$H$34</definedName>
    <definedName name="AS">#REF!</definedName>
    <definedName name="avances">#REF!</definedName>
    <definedName name="avn">#REF!</definedName>
    <definedName name="Bienes">#REF!</definedName>
    <definedName name="CIE">#REF!</definedName>
    <definedName name="CIERRE">#REF!</definedName>
    <definedName name="Consultoría">#REF!</definedName>
    <definedName name="Consultoría_Individuos">#REF!</definedName>
    <definedName name="diagnostico">#REF!</definedName>
    <definedName name="Estados">#REF!</definedName>
    <definedName name="fdfsdfsdf">#REF!</definedName>
    <definedName name="FFFF">#REF!</definedName>
    <definedName name="ffsdfsdfsdfsdfsd">#REF!</definedName>
    <definedName name="FINAL">#REF!</definedName>
    <definedName name="FORMATO2">#REF!</definedName>
    <definedName name="FR">#REF!</definedName>
    <definedName name="h">[2]Catalogos!$AT$29:$AT$32+[2]Catalogos!$AT$29:$AT$32</definedName>
    <definedName name="JJ">#REF!</definedName>
    <definedName name="KK">#REF!</definedName>
    <definedName name="MIERDA">#REF!</definedName>
    <definedName name="Monitoreo">#REF!</definedName>
    <definedName name="mono">#REF!</definedName>
    <definedName name="MUNICIPIO">'[3]Hoja1 (2)'!$A$2:$A$113</definedName>
    <definedName name="Municipios">[4]MuniZapios!$B$2:$B$120</definedName>
    <definedName name="ngng">#REF!</definedName>
    <definedName name="Nuevo">#REF!</definedName>
    <definedName name="Nuevo2">#REF!</definedName>
    <definedName name="Obras">#REF!</definedName>
    <definedName name="plan">#REF!</definedName>
    <definedName name="pp">#REF!</definedName>
    <definedName name="ret">#REF!</definedName>
    <definedName name="Selección">#REF!</definedName>
    <definedName name="Tipo_de_adquisición">#REF!</definedName>
    <definedName name="_xlnm.Print_Titles" localSheetId="0">'Cierre de Ejercicio'!$1:$10</definedName>
    <definedName name="TTT">#REF!</definedName>
    <definedName name="VIEJO">#REF!</definedName>
    <definedName name="xxx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H16" i="1"/>
  <c r="E15" i="1"/>
  <c r="H15" i="1"/>
  <c r="H14" i="1"/>
  <c r="E14" i="1"/>
  <c r="D14" i="1"/>
  <c r="C14" i="1"/>
</calcChain>
</file>

<file path=xl/sharedStrings.xml><?xml version="1.0" encoding="utf-8"?>
<sst xmlns="http://schemas.openxmlformats.org/spreadsheetml/2006/main" count="33" uniqueCount="32">
  <si>
    <t>Subdirección General de Agua Potable, Drenaje y Saneamiento</t>
  </si>
  <si>
    <t>Entidad Federativa: __________________________________</t>
  </si>
  <si>
    <t>Fecha de elaboración:</t>
  </si>
  <si>
    <t>Tipo de apoyo</t>
  </si>
  <si>
    <t>Monto transferido sobre anexos firmados</t>
  </si>
  <si>
    <t>Monto reintegrado durante el ejercicio fiscal</t>
  </si>
  <si>
    <t xml:space="preserve"> Monto transferido modificado al 31 de diciembre</t>
  </si>
  <si>
    <t>Monto del Informe final de acciones</t>
  </si>
  <si>
    <t>Monto  reintegrado al 15 de enero 2025</t>
  </si>
  <si>
    <t>Por reintegrar</t>
  </si>
  <si>
    <t>( 1 )</t>
  </si>
  <si>
    <t>( 2 )</t>
  </si>
  <si>
    <t>( 3 )
3 = 1 - 2</t>
  </si>
  <si>
    <t>( 4 )</t>
  </si>
  <si>
    <t>( 5 )</t>
  </si>
  <si>
    <t>( 6 )
6 = 3 - 4 - 5</t>
  </si>
  <si>
    <t>Total</t>
  </si>
  <si>
    <t xml:space="preserve">Infraestructura de Agua Potable, Alcantarillado y Saneamiento. </t>
  </si>
  <si>
    <t>Desinfección del Agua</t>
  </si>
  <si>
    <r>
      <rPr>
        <b/>
        <sz val="12"/>
        <color indexed="8"/>
        <rFont val="Arial"/>
        <family val="2"/>
      </rPr>
      <t>Nota</t>
    </r>
    <r>
      <rPr>
        <sz val="12"/>
        <color indexed="8"/>
        <rFont val="Arial"/>
        <family val="2"/>
      </rPr>
      <t>: Los montos de inversión en el presente Cierre, se anotarán en pesos, a dos decimales.</t>
    </r>
  </si>
  <si>
    <t>El presente cierre se firma en cuatro ejemplares originales, a los ___ días del mes de  _____________ de 202_.</t>
  </si>
  <si>
    <t>Deberán firmar las mismas personas que suscribieron el anexo de ejecución</t>
  </si>
  <si>
    <t>Por el Ejecutivo Federal</t>
  </si>
  <si>
    <t>Por el ejecutivo de la Entidad Federativa</t>
  </si>
  <si>
    <t>Secretaría de medio ambiente y recursos naturales</t>
  </si>
  <si>
    <t>(Quien conforme a su normatividad tenga atribuciones)</t>
  </si>
  <si>
    <t>Comisión nacional del agua</t>
  </si>
  <si>
    <t>(Nombre, cargo y firma)</t>
  </si>
  <si>
    <t>Programa de Agua Potable, Drenaje y Tratamiento (PROAGUA) 202___</t>
  </si>
  <si>
    <t>Cierre de Ejercicio Fiscal 202___</t>
  </si>
  <si>
    <t xml:space="preserve">Operación durante el Ejercicio </t>
  </si>
  <si>
    <t>Operación posterior al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</si>
</sst>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20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i/>
      <sz val="1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1"/>
      <color rgb="FF000000"/>
      <name val="Arial"/>
      <family val="2"/>
    </font>
    <font>
      <b/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1" applyFon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3" fillId="0" borderId="0" xfId="1" applyFont="1"/>
    <xf numFmtId="0" fontId="4" fillId="0" borderId="4" xfId="1" applyFont="1" applyBorder="1" applyAlignment="1">
      <alignment vertical="justify"/>
    </xf>
    <xf numFmtId="0" fontId="5" fillId="0" borderId="4" xfId="1" applyFont="1" applyBorder="1" applyAlignment="1">
      <alignment vertical="justify"/>
    </xf>
    <xf numFmtId="0" fontId="6" fillId="0" borderId="4" xfId="1" applyFont="1" applyBorder="1" applyAlignment="1" applyProtection="1">
      <alignment vertical="justify"/>
      <protection locked="0"/>
    </xf>
    <xf numFmtId="0" fontId="7" fillId="0" borderId="4" xfId="1" applyFont="1" applyBorder="1" applyAlignment="1">
      <alignment vertical="justify"/>
    </xf>
    <xf numFmtId="0" fontId="7" fillId="0" borderId="0" xfId="1" applyFont="1" applyBorder="1" applyAlignment="1">
      <alignment vertical="justify"/>
    </xf>
    <xf numFmtId="0" fontId="7" fillId="0" borderId="5" xfId="1" applyFont="1" applyBorder="1" applyAlignment="1">
      <alignment vertical="justify"/>
    </xf>
    <xf numFmtId="0" fontId="3" fillId="0" borderId="4" xfId="1" applyFont="1" applyBorder="1" applyAlignment="1">
      <alignment vertical="center" wrapText="1"/>
    </xf>
    <xf numFmtId="0" fontId="3" fillId="0" borderId="0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8" fillId="0" borderId="4" xfId="1" applyFont="1" applyBorder="1"/>
    <xf numFmtId="0" fontId="8" fillId="0" borderId="0" xfId="1" applyFont="1" applyBorder="1"/>
    <xf numFmtId="0" fontId="3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/>
    <xf numFmtId="0" fontId="3" fillId="0" borderId="8" xfId="1" applyFont="1" applyBorder="1"/>
    <xf numFmtId="0" fontId="8" fillId="0" borderId="8" xfId="1" applyFont="1" applyBorder="1"/>
    <xf numFmtId="0" fontId="8" fillId="0" borderId="9" xfId="1" applyFont="1" applyBorder="1"/>
    <xf numFmtId="0" fontId="2" fillId="0" borderId="10" xfId="1" applyFont="1" applyBorder="1"/>
    <xf numFmtId="0" fontId="2" fillId="0" borderId="8" xfId="1" applyFont="1" applyBorder="1"/>
    <xf numFmtId="0" fontId="9" fillId="0" borderId="0" xfId="1" applyFont="1"/>
    <xf numFmtId="0" fontId="5" fillId="0" borderId="1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49" fontId="5" fillId="0" borderId="15" xfId="1" applyNumberFormat="1" applyFont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wrapText="1"/>
    </xf>
    <xf numFmtId="49" fontId="5" fillId="0" borderId="15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/>
    </xf>
    <xf numFmtId="4" fontId="5" fillId="2" borderId="11" xfId="1" applyNumberFormat="1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4" xfId="1" applyFont="1" applyBorder="1" applyAlignment="1">
      <alignment vertical="center" wrapText="1"/>
    </xf>
    <xf numFmtId="4" fontId="10" fillId="0" borderId="14" xfId="1" applyNumberFormat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4" fontId="10" fillId="0" borderId="15" xfId="1" applyNumberFormat="1" applyFont="1" applyBorder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11" fillId="0" borderId="0" xfId="1" applyFont="1" applyAlignment="1">
      <alignment horizontal="right" vertical="top" wrapText="1"/>
    </xf>
    <xf numFmtId="3" fontId="2" fillId="0" borderId="0" xfId="1" applyNumberFormat="1" applyFont="1" applyAlignment="1">
      <alignment horizontal="center" vertical="center"/>
    </xf>
    <xf numFmtId="0" fontId="12" fillId="0" borderId="0" xfId="1" applyFont="1" applyAlignment="1" applyProtection="1">
      <alignment horizontal="left" vertical="center"/>
      <protection locked="0"/>
    </xf>
    <xf numFmtId="4" fontId="14" fillId="0" borderId="0" xfId="1" applyNumberFormat="1" applyFont="1" applyAlignment="1">
      <alignment horizontal="right" vertical="center" wrapText="1"/>
    </xf>
    <xf numFmtId="0" fontId="15" fillId="0" borderId="0" xfId="1" applyFont="1" applyAlignment="1" applyProtection="1">
      <alignment horizontal="left"/>
      <protection locked="0"/>
    </xf>
    <xf numFmtId="0" fontId="2" fillId="0" borderId="0" xfId="1" quotePrefix="1" applyFont="1" applyAlignment="1" applyProtection="1">
      <alignment horizontal="center" vertical="center"/>
      <protection locked="0"/>
    </xf>
    <xf numFmtId="0" fontId="16" fillId="0" borderId="0" xfId="1" applyFont="1"/>
    <xf numFmtId="0" fontId="17" fillId="0" borderId="0" xfId="1" applyFont="1"/>
    <xf numFmtId="0" fontId="18" fillId="0" borderId="0" xfId="1" applyFont="1" applyAlignment="1">
      <alignment vertical="center"/>
    </xf>
    <xf numFmtId="0" fontId="15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19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>
      <alignment vertical="center"/>
    </xf>
    <xf numFmtId="0" fontId="19" fillId="0" borderId="0" xfId="1" applyFont="1" applyAlignment="1"/>
    <xf numFmtId="0" fontId="2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0" fontId="2" fillId="0" borderId="16" xfId="1" applyFont="1" applyBorder="1"/>
    <xf numFmtId="0" fontId="22" fillId="0" borderId="16" xfId="1" applyFont="1" applyBorder="1" applyAlignment="1">
      <alignment vertical="center"/>
    </xf>
    <xf numFmtId="0" fontId="23" fillId="0" borderId="0" xfId="1" applyFont="1" applyBorder="1" applyAlignment="1">
      <alignment horizontal="left"/>
    </xf>
    <xf numFmtId="0" fontId="20" fillId="0" borderId="16" xfId="1" applyFont="1" applyBorder="1" applyAlignment="1">
      <alignment horizontal="center" vertical="center"/>
    </xf>
    <xf numFmtId="0" fontId="24" fillId="0" borderId="16" xfId="1" applyFont="1" applyBorder="1" applyAlignment="1">
      <alignment vertical="center"/>
    </xf>
    <xf numFmtId="0" fontId="25" fillId="0" borderId="0" xfId="1" applyFont="1" applyBorder="1" applyAlignment="1"/>
    <xf numFmtId="0" fontId="18" fillId="0" borderId="0" xfId="1" applyFont="1" applyBorder="1" applyAlignment="1"/>
    <xf numFmtId="0" fontId="18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justify"/>
    </xf>
    <xf numFmtId="0" fontId="4" fillId="0" borderId="5" xfId="1" applyFont="1" applyBorder="1" applyAlignment="1">
      <alignment horizontal="center" vertical="justify"/>
    </xf>
    <xf numFmtId="0" fontId="5" fillId="0" borderId="0" xfId="1" applyFont="1" applyBorder="1" applyAlignment="1">
      <alignment horizontal="center" vertical="justify"/>
    </xf>
    <xf numFmtId="0" fontId="5" fillId="0" borderId="5" xfId="1" applyFont="1" applyBorder="1" applyAlignment="1">
      <alignment horizontal="center" vertical="justify"/>
    </xf>
    <xf numFmtId="0" fontId="6" fillId="0" borderId="0" xfId="1" applyFont="1" applyBorder="1" applyAlignment="1" applyProtection="1">
      <alignment horizontal="center" vertical="justify"/>
      <protection locked="0"/>
    </xf>
    <xf numFmtId="0" fontId="6" fillId="0" borderId="5" xfId="1" applyFont="1" applyBorder="1" applyAlignment="1" applyProtection="1">
      <alignment horizontal="center" vertical="justify"/>
      <protection locked="0"/>
    </xf>
    <xf numFmtId="0" fontId="5" fillId="0" borderId="11" xfId="1" quotePrefix="1" applyFont="1" applyBorder="1" applyAlignment="1">
      <alignment horizontal="center" vertical="center"/>
    </xf>
    <xf numFmtId="0" fontId="5" fillId="0" borderId="14" xfId="1" quotePrefix="1" applyFont="1" applyBorder="1" applyAlignment="1">
      <alignment horizontal="center" vertical="center"/>
    </xf>
    <xf numFmtId="0" fontId="5" fillId="0" borderId="15" xfId="1" quotePrefix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2204357</xdr:colOff>
      <xdr:row>3</xdr:row>
      <xdr:rowOff>39121</xdr:rowOff>
    </xdr:from>
    <xdr:ext cx="1660072" cy="721178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559893" y="474550"/>
          <a:ext cx="1660072" cy="721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600">
              <a:solidFill>
                <a:srgbClr val="FF0000"/>
              </a:solidFill>
            </a:rPr>
            <a:t>Logo o escudo estatal</a:t>
          </a:r>
        </a:p>
      </xdr:txBody>
    </xdr:sp>
    <xdr:clientData/>
  </xdr:oneCellAnchor>
  <xdr:twoCellAnchor editAs="oneCell">
    <xdr:from>
      <xdr:col>1</xdr:col>
      <xdr:colOff>1728107</xdr:colOff>
      <xdr:row>3</xdr:row>
      <xdr:rowOff>44452</xdr:rowOff>
    </xdr:from>
    <xdr:to>
      <xdr:col>2</xdr:col>
      <xdr:colOff>1836963</xdr:colOff>
      <xdr:row>4</xdr:row>
      <xdr:rowOff>367393</xdr:rowOff>
    </xdr:to>
    <xdr:pic>
      <xdr:nvPicPr>
        <xdr:cNvPr id="6" name="Imagen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64" y="479881"/>
          <a:ext cx="4367892" cy="622298"/>
        </a:xfrm>
        <a:prstGeom prst="rect">
          <a:avLst/>
        </a:prstGeom>
      </xdr:spPr>
    </xdr:pic>
    <xdr:clientData/>
  </xdr:twoCellAnchor>
  <xdr:twoCellAnchor>
    <xdr:from>
      <xdr:col>7</xdr:col>
      <xdr:colOff>857251</xdr:colOff>
      <xdr:row>2</xdr:row>
      <xdr:rowOff>95250</xdr:rowOff>
    </xdr:from>
    <xdr:to>
      <xdr:col>7</xdr:col>
      <xdr:colOff>2435679</xdr:colOff>
      <xdr:row>4</xdr:row>
      <xdr:rowOff>122463</xdr:rowOff>
    </xdr:to>
    <xdr:sp macro="" textlink="">
      <xdr:nvSpPr>
        <xdr:cNvPr id="3" name="CuadroTexto 2"/>
        <xdr:cNvSpPr txBox="1"/>
      </xdr:nvSpPr>
      <xdr:spPr>
        <a:xfrm>
          <a:off x="17662072" y="231321"/>
          <a:ext cx="1578428" cy="6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>
              <a:latin typeface="Arial Black" panose="020B0A04020102020204" pitchFamily="34" charset="0"/>
              <a:cs typeface="Arial" panose="020B0604020202020204" pitchFamily="34" charset="0"/>
            </a:rPr>
            <a:t>Anexo</a:t>
          </a:r>
          <a:r>
            <a:rPr lang="es-MX" sz="1600" b="1" baseline="0">
              <a:latin typeface="Arial Black" panose="020B0A04020102020204" pitchFamily="34" charset="0"/>
              <a:cs typeface="Arial" panose="020B0604020202020204" pitchFamily="34" charset="0"/>
            </a:rPr>
            <a:t> XXII</a:t>
          </a:r>
          <a:endParaRPr lang="es-MX" sz="1600" b="1"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toledo/AppData/Local/Microsoft/Windows/INetCache/Content.Outlook/UKVNUX8P/Formato%20Cierre%20Acciones%20de%20AP%20Alc.%20y%20San%20PROAGUA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spaldo%20lap%20top\CONAGUA%202\ROP\2022\Anexo%20t&#233;cnico%202022\ModAnexosTec2022\Formato%20Anexo%20T&#233;cnico%20Acciones%20de%20AP,%20Alc.%20y%20San%20PROAGUA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p1\d\cmp\POA1998\CSR%20PROGRAMA%20OPERATIVO%20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0006W175\Users\Users\Alejandro\Documents\Comisi&#243;n%20de%20Caminos\Cierre%20de%20Ejercicios%20_2007-2013_%20Ing.%20Felipe\POA%202016%20Alex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GENERAL 01"/>
      <sheetName val="RESUMEN RURAL 02"/>
      <sheetName val="ACCIONES AP LOC. RUR. 03"/>
      <sheetName val="ACCIONES ALC LOC. RUR. 04"/>
      <sheetName val="ACCIONES SAN LOC. RUR. 05"/>
      <sheetName val="RESUMEN URBANO 06"/>
      <sheetName val="ACCIONES AP LOC. URB. 07"/>
      <sheetName val="ACCIONES ALC LOC. URB. 08"/>
      <sheetName val="ACCIONES SAN LOC. URB. 09"/>
      <sheetName val="Lista"/>
      <sheetName val="Catalogos"/>
      <sheetName val="SUP. TÉC. 10"/>
      <sheetName val="INDICADORES DE EVALUACION 11"/>
      <sheetName val="OBRAS RELEVAN FC-PROAGUA-12"/>
      <sheetName val="Estrateg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T29" t="str">
            <v>Equipos de desazolve</v>
          </cell>
        </row>
        <row r="30">
          <cell r="AT30" t="str">
            <v>Mobiliario de oficina</v>
          </cell>
        </row>
        <row r="31">
          <cell r="AT31" t="str">
            <v>Equipo de transporte para zonas rurales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GENERAL 03"/>
      <sheetName val="RESUMEN RURAL 04"/>
      <sheetName val="ACCIONES AP LOC. RUR. 05"/>
      <sheetName val="ACCIONES ALC LOC. RUR. 06"/>
      <sheetName val="ACCIONES SAN LOC. RUR. 07"/>
      <sheetName val="RESUMEN URBANO 08"/>
      <sheetName val="ACCIONES AP LOC. URB. 09"/>
      <sheetName val="ACCIONES ALC LOC. URB. 10"/>
      <sheetName val="ACCIONES SAN LOC. URB. 11"/>
      <sheetName val="SUP. TÉC. 12"/>
      <sheetName val="Lista"/>
      <sheetName val="Catalogos"/>
      <sheetName val="ATENCIÓN SOCIAL 13"/>
      <sheetName val="INDICADORES DE EVALUACION 14"/>
      <sheetName val="CAL. LICITACIONES 15"/>
      <sheetName val="Estrateg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9">
          <cell r="AT29" t="str">
            <v>Equipos de desazolve</v>
          </cell>
        </row>
        <row r="30">
          <cell r="AT30" t="str">
            <v>Mobiliario de oficina</v>
          </cell>
        </row>
        <row r="31">
          <cell r="AT31" t="str">
            <v>Equipo de transporte para zonas rurales</v>
          </cell>
        </row>
      </sheetData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CATALOGO RURAL"/>
      <sheetName val="RESUMEN GENERAL"/>
      <sheetName val="AccEfici"/>
      <sheetName val="Estrategias"/>
      <sheetName val="AccMej"/>
      <sheetName val="AccNue"/>
    </sheetNames>
    <sheetDataSet>
      <sheetData sheetId="0">
        <row r="2">
          <cell r="A2" t="str">
            <v>ACUITZIO</v>
          </cell>
        </row>
        <row r="3">
          <cell r="A3" t="str">
            <v>AGUILILLA</v>
          </cell>
        </row>
        <row r="4">
          <cell r="A4" t="str">
            <v>ALVARO OBREGON</v>
          </cell>
        </row>
        <row r="5">
          <cell r="A5" t="str">
            <v>ANGAMACUTIRO</v>
          </cell>
        </row>
        <row r="6">
          <cell r="A6" t="str">
            <v>ANGANGUEO</v>
          </cell>
        </row>
        <row r="7">
          <cell r="A7" t="str">
            <v>APATZINGAN</v>
          </cell>
        </row>
        <row r="8">
          <cell r="A8" t="str">
            <v>APORO</v>
          </cell>
        </row>
        <row r="9">
          <cell r="A9" t="str">
            <v>AQUILA</v>
          </cell>
        </row>
        <row r="10">
          <cell r="A10" t="str">
            <v>ARIO</v>
          </cell>
        </row>
        <row r="11">
          <cell r="A11" t="str">
            <v>ARTEAGA</v>
          </cell>
        </row>
        <row r="12">
          <cell r="A12" t="str">
            <v>BRISEÑAS</v>
          </cell>
        </row>
        <row r="13">
          <cell r="A13" t="str">
            <v>BUENAVISTA</v>
          </cell>
        </row>
        <row r="14">
          <cell r="A14" t="str">
            <v>CARACUARO</v>
          </cell>
        </row>
        <row r="15">
          <cell r="A15" t="str">
            <v>COAHUAYANA</v>
          </cell>
        </row>
        <row r="16">
          <cell r="A16" t="str">
            <v>COALCOMAN</v>
          </cell>
        </row>
        <row r="17">
          <cell r="A17" t="str">
            <v>COENEO</v>
          </cell>
        </row>
        <row r="18">
          <cell r="A18" t="str">
            <v>COJUMATLAN</v>
          </cell>
        </row>
        <row r="19">
          <cell r="A19" t="str">
            <v>CONTEPEC</v>
          </cell>
        </row>
        <row r="20">
          <cell r="A20" t="str">
            <v>COPANDARO</v>
          </cell>
        </row>
        <row r="21">
          <cell r="A21" t="str">
            <v>COTIJA</v>
          </cell>
        </row>
        <row r="22">
          <cell r="A22" t="str">
            <v>CUITZEO</v>
          </cell>
        </row>
        <row r="23">
          <cell r="A23" t="str">
            <v>CHARAPAN</v>
          </cell>
        </row>
        <row r="24">
          <cell r="A24" t="str">
            <v>CHARO</v>
          </cell>
        </row>
        <row r="25">
          <cell r="A25" t="str">
            <v>CHAVINDA</v>
          </cell>
        </row>
        <row r="26">
          <cell r="A26" t="str">
            <v>CHERAN</v>
          </cell>
        </row>
        <row r="27">
          <cell r="A27" t="str">
            <v>CHILCHOTA</v>
          </cell>
        </row>
        <row r="28">
          <cell r="A28" t="str">
            <v>CHINICUILA</v>
          </cell>
        </row>
        <row r="29">
          <cell r="A29" t="str">
            <v>CHUCANDIRO</v>
          </cell>
        </row>
        <row r="30">
          <cell r="A30" t="str">
            <v>CHURINTZIO</v>
          </cell>
        </row>
        <row r="31">
          <cell r="A31" t="str">
            <v>CHURUMUCO</v>
          </cell>
        </row>
        <row r="32">
          <cell r="A32" t="str">
            <v>ECUANDUREO</v>
          </cell>
        </row>
        <row r="33">
          <cell r="A33" t="str">
            <v>EPITACIO HUERTA</v>
          </cell>
        </row>
        <row r="34">
          <cell r="A34" t="str">
            <v>ERONGARICUARO</v>
          </cell>
        </row>
        <row r="35">
          <cell r="A35" t="str">
            <v>GABRIEL ZAMORA</v>
          </cell>
        </row>
        <row r="36">
          <cell r="A36" t="str">
            <v>HIDALGO</v>
          </cell>
        </row>
        <row r="37">
          <cell r="A37" t="str">
            <v>HUACANA, LA</v>
          </cell>
        </row>
        <row r="38">
          <cell r="A38" t="str">
            <v>HUANDACAREO</v>
          </cell>
        </row>
        <row r="39">
          <cell r="A39" t="str">
            <v>HUANIQUEO</v>
          </cell>
        </row>
        <row r="40">
          <cell r="A40" t="str">
            <v>HUETAMO</v>
          </cell>
        </row>
        <row r="41">
          <cell r="A41" t="str">
            <v>HUIRAMBA</v>
          </cell>
        </row>
        <row r="42">
          <cell r="A42" t="str">
            <v>INDAPARAPEO</v>
          </cell>
        </row>
        <row r="43">
          <cell r="A43" t="str">
            <v>IRIMBO</v>
          </cell>
        </row>
        <row r="44">
          <cell r="A44" t="str">
            <v>IXTLAN</v>
          </cell>
        </row>
        <row r="45">
          <cell r="A45" t="str">
            <v>JACONA</v>
          </cell>
        </row>
        <row r="46">
          <cell r="A46" t="str">
            <v>JIMENEZ</v>
          </cell>
        </row>
        <row r="47">
          <cell r="A47" t="str">
            <v>JIQUILPAN</v>
          </cell>
        </row>
        <row r="48">
          <cell r="A48" t="str">
            <v>JOSE SIXTO VERDUZCO</v>
          </cell>
        </row>
        <row r="49">
          <cell r="A49" t="str">
            <v>JUAREZ</v>
          </cell>
        </row>
        <row r="50">
          <cell r="A50" t="str">
            <v>JUNGAPEO</v>
          </cell>
        </row>
        <row r="51">
          <cell r="A51" t="str">
            <v>LA PIEDAD</v>
          </cell>
        </row>
        <row r="52">
          <cell r="A52" t="str">
            <v>LAGUNILLAS</v>
          </cell>
        </row>
        <row r="53">
          <cell r="A53" t="str">
            <v>LAZARO CARDENAS</v>
          </cell>
        </row>
        <row r="54">
          <cell r="A54" t="str">
            <v>LOS REYES</v>
          </cell>
        </row>
        <row r="55">
          <cell r="A55" t="str">
            <v>MADERO</v>
          </cell>
        </row>
        <row r="56">
          <cell r="A56" t="str">
            <v>MARAVATIO</v>
          </cell>
        </row>
        <row r="57">
          <cell r="A57" t="str">
            <v>MARCOS CASTELLANOS</v>
          </cell>
        </row>
        <row r="58">
          <cell r="A58" t="str">
            <v>MORELOS</v>
          </cell>
        </row>
        <row r="59">
          <cell r="A59" t="str">
            <v>MUGICA</v>
          </cell>
        </row>
        <row r="60">
          <cell r="A60" t="str">
            <v>NAHUATZEN</v>
          </cell>
        </row>
        <row r="61">
          <cell r="A61" t="str">
            <v>NOCUPETARO</v>
          </cell>
        </row>
        <row r="62">
          <cell r="A62" t="str">
            <v>NUEVO PARANGARICUTIRO</v>
          </cell>
        </row>
        <row r="63">
          <cell r="A63" t="str">
            <v>NUEVO URECHO</v>
          </cell>
        </row>
        <row r="64">
          <cell r="A64" t="str">
            <v>NUMARAN</v>
          </cell>
        </row>
        <row r="65">
          <cell r="A65" t="str">
            <v>OCAMPO</v>
          </cell>
        </row>
        <row r="66">
          <cell r="A66" t="str">
            <v>PAJACUARAN</v>
          </cell>
        </row>
        <row r="67">
          <cell r="A67" t="str">
            <v>PANINDICUARO</v>
          </cell>
        </row>
        <row r="68">
          <cell r="A68" t="str">
            <v>PARACUARO</v>
          </cell>
        </row>
        <row r="69">
          <cell r="A69" t="str">
            <v>PARACHO</v>
          </cell>
        </row>
        <row r="70">
          <cell r="A70" t="str">
            <v>PATZCUARO</v>
          </cell>
        </row>
        <row r="71">
          <cell r="A71" t="str">
            <v>PENJAMILLO</v>
          </cell>
        </row>
        <row r="72">
          <cell r="A72" t="str">
            <v>PERIBAN</v>
          </cell>
        </row>
        <row r="73">
          <cell r="A73" t="str">
            <v>PUREPERO</v>
          </cell>
        </row>
        <row r="74">
          <cell r="A74" t="str">
            <v>PURUANDIRO</v>
          </cell>
        </row>
        <row r="75">
          <cell r="A75" t="str">
            <v>QUERENDARO</v>
          </cell>
        </row>
        <row r="76">
          <cell r="A76" t="str">
            <v>QUIROGA</v>
          </cell>
        </row>
        <row r="77">
          <cell r="A77" t="str">
            <v>SAHUAYO</v>
          </cell>
        </row>
        <row r="78">
          <cell r="A78" t="str">
            <v>SALVADOR ESCALANTE</v>
          </cell>
        </row>
        <row r="79">
          <cell r="A79" t="str">
            <v>SAN LUCAS</v>
          </cell>
        </row>
        <row r="80">
          <cell r="A80" t="str">
            <v>SANTA ANA MAYA</v>
          </cell>
        </row>
        <row r="81">
          <cell r="A81" t="str">
            <v>SENGUIO</v>
          </cell>
        </row>
        <row r="82">
          <cell r="A82" t="str">
            <v>SUSUPUATO</v>
          </cell>
        </row>
        <row r="83">
          <cell r="A83" t="str">
            <v>TACAMBARO</v>
          </cell>
        </row>
        <row r="84">
          <cell r="A84" t="str">
            <v>TANCITARO</v>
          </cell>
        </row>
        <row r="85">
          <cell r="A85" t="str">
            <v>TANGAMANDAPIO</v>
          </cell>
        </row>
        <row r="86">
          <cell r="A86" t="str">
            <v>TANGANCICUARO</v>
          </cell>
        </row>
        <row r="87">
          <cell r="A87" t="str">
            <v>TANHUATO</v>
          </cell>
        </row>
        <row r="88">
          <cell r="A88" t="str">
            <v>TARETAN</v>
          </cell>
        </row>
        <row r="89">
          <cell r="A89" t="str">
            <v>TARIMBARO</v>
          </cell>
        </row>
        <row r="90">
          <cell r="A90" t="str">
            <v>TEPALCATEPEC</v>
          </cell>
        </row>
        <row r="91">
          <cell r="A91" t="str">
            <v>TINGAMBATO</v>
          </cell>
        </row>
        <row r="92">
          <cell r="A92" t="str">
            <v>TINGUINDIN</v>
          </cell>
        </row>
        <row r="93">
          <cell r="A93" t="str">
            <v>TIQUICHEO</v>
          </cell>
        </row>
        <row r="94">
          <cell r="A94" t="str">
            <v>TLALPUJAHUA</v>
          </cell>
        </row>
        <row r="95">
          <cell r="A95" t="str">
            <v>TLAZAZALCA</v>
          </cell>
        </row>
        <row r="96">
          <cell r="A96" t="str">
            <v>TOCUMBO</v>
          </cell>
        </row>
        <row r="97">
          <cell r="A97" t="str">
            <v>TUMBISCATIO</v>
          </cell>
        </row>
        <row r="98">
          <cell r="A98" t="str">
            <v>TURICATO</v>
          </cell>
        </row>
        <row r="99">
          <cell r="A99" t="str">
            <v>TUXPAN</v>
          </cell>
        </row>
        <row r="100">
          <cell r="A100" t="str">
            <v>TUZANTLA</v>
          </cell>
        </row>
        <row r="101">
          <cell r="A101" t="str">
            <v>TZINTZUNTZAN</v>
          </cell>
        </row>
        <row r="102">
          <cell r="A102" t="str">
            <v>TZITZIO</v>
          </cell>
        </row>
        <row r="103">
          <cell r="A103" t="str">
            <v>URUAPAN</v>
          </cell>
        </row>
        <row r="104">
          <cell r="A104" t="str">
            <v>VENUSTIANO CARRANZA</v>
          </cell>
        </row>
        <row r="105">
          <cell r="A105" t="str">
            <v>VILLAMAR</v>
          </cell>
        </row>
        <row r="106">
          <cell r="A106" t="str">
            <v>VISTA HERMOSA</v>
          </cell>
        </row>
        <row r="107">
          <cell r="A107" t="str">
            <v>YURECUARO</v>
          </cell>
        </row>
        <row r="108">
          <cell r="A108" t="str">
            <v>ZACAPU</v>
          </cell>
        </row>
        <row r="109">
          <cell r="A109" t="str">
            <v>ZAMORA</v>
          </cell>
        </row>
        <row r="110">
          <cell r="A110" t="str">
            <v>ZINAPARO</v>
          </cell>
        </row>
        <row r="111">
          <cell r="A111" t="str">
            <v>ZINAPECUARO</v>
          </cell>
        </row>
        <row r="112">
          <cell r="A112" t="str">
            <v>ZIRACUARETIRO</v>
          </cell>
        </row>
        <row r="113">
          <cell r="A113" t="str">
            <v>ZITACUARO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Ec_Fral."/>
      <sheetName val="POA"/>
      <sheetName val="Hoja5"/>
      <sheetName val="EP01"/>
      <sheetName val="Hoja2"/>
      <sheetName val="Hoja4"/>
      <sheetName val="EP01 (2)"/>
      <sheetName val="Hoja3"/>
      <sheetName val="Hoja6"/>
      <sheetName val="CARTERA FISE"/>
      <sheetName val="Hoja1"/>
      <sheetName val="FuenteFinan"/>
      <sheetName val="Hoja7"/>
      <sheetName val="Opciones"/>
      <sheetName val="MuniZapios"/>
      <sheetName val="CatFAIS2015"/>
      <sheetName val="CatLocalidades"/>
      <sheetName val="CPostal"/>
      <sheetName val="AGEBUrb"/>
      <sheetName val="Impresión"/>
      <sheetName val="Tablas"/>
      <sheetName val="Apartados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Acacoyagua</v>
          </cell>
        </row>
        <row r="3">
          <cell r="B3" t="str">
            <v>Acala</v>
          </cell>
        </row>
        <row r="4">
          <cell r="B4" t="str">
            <v>Acapetahua</v>
          </cell>
        </row>
        <row r="5">
          <cell r="B5" t="str">
            <v>Aldama</v>
          </cell>
        </row>
        <row r="6">
          <cell r="B6" t="str">
            <v>Altamirano</v>
          </cell>
        </row>
        <row r="7">
          <cell r="B7" t="str">
            <v>Amatán</v>
          </cell>
        </row>
        <row r="8">
          <cell r="B8" t="str">
            <v>Amatenango de la Frontera</v>
          </cell>
        </row>
        <row r="9">
          <cell r="B9" t="str">
            <v>Amatenango del Valle</v>
          </cell>
        </row>
        <row r="10">
          <cell r="B10" t="str">
            <v>Angel Albino Corzo</v>
          </cell>
        </row>
        <row r="11">
          <cell r="B11" t="str">
            <v>Arriaga</v>
          </cell>
        </row>
        <row r="12">
          <cell r="B12" t="str">
            <v>Bejucal de Ocampo</v>
          </cell>
        </row>
        <row r="13">
          <cell r="B13" t="str">
            <v>Bella Vista</v>
          </cell>
        </row>
        <row r="14">
          <cell r="B14" t="str">
            <v>Benemérito de las Américas</v>
          </cell>
        </row>
        <row r="15">
          <cell r="B15" t="str">
            <v>Berriozábal</v>
          </cell>
        </row>
        <row r="16">
          <cell r="B16" t="str">
            <v>Bochil</v>
          </cell>
        </row>
        <row r="17">
          <cell r="B17" t="str">
            <v>Cacahoatán</v>
          </cell>
        </row>
        <row r="18">
          <cell r="B18" t="str">
            <v>Catazajá</v>
          </cell>
        </row>
        <row r="19">
          <cell r="B19" t="str">
            <v>Chalchihuitán</v>
          </cell>
        </row>
        <row r="20">
          <cell r="B20" t="str">
            <v>Chamula</v>
          </cell>
        </row>
        <row r="21">
          <cell r="B21" t="str">
            <v>Chanal</v>
          </cell>
        </row>
        <row r="22">
          <cell r="B22" t="str">
            <v>Chapultenango</v>
          </cell>
        </row>
        <row r="23">
          <cell r="B23" t="str">
            <v>Chenalhó</v>
          </cell>
        </row>
        <row r="24">
          <cell r="B24" t="str">
            <v>Chiapa de Corzo</v>
          </cell>
        </row>
        <row r="25">
          <cell r="B25" t="str">
            <v>Chiapilla</v>
          </cell>
        </row>
        <row r="26">
          <cell r="B26" t="str">
            <v>Chicoasén</v>
          </cell>
        </row>
        <row r="27">
          <cell r="B27" t="str">
            <v>Chicomuselo</v>
          </cell>
        </row>
        <row r="28">
          <cell r="B28" t="str">
            <v>Chilón</v>
          </cell>
        </row>
        <row r="29">
          <cell r="B29" t="str">
            <v>Cintalapa</v>
          </cell>
        </row>
        <row r="30">
          <cell r="B30" t="str">
            <v>Coapilla</v>
          </cell>
        </row>
        <row r="31">
          <cell r="B31" t="str">
            <v>Comitán de Domínguez</v>
          </cell>
        </row>
        <row r="32">
          <cell r="B32" t="str">
            <v>Copainalá</v>
          </cell>
        </row>
        <row r="33">
          <cell r="B33" t="str">
            <v>El Bosque</v>
          </cell>
        </row>
        <row r="34">
          <cell r="B34" t="str">
            <v>El Porvenir</v>
          </cell>
        </row>
        <row r="35">
          <cell r="B35" t="str">
            <v>Escuintla</v>
          </cell>
        </row>
        <row r="36">
          <cell r="B36" t="str">
            <v>Francisco León</v>
          </cell>
        </row>
        <row r="37">
          <cell r="B37" t="str">
            <v>Frontera Comalapa</v>
          </cell>
        </row>
        <row r="38">
          <cell r="B38" t="str">
            <v>Frontera Hidalgo</v>
          </cell>
        </row>
        <row r="39">
          <cell r="B39" t="str">
            <v>Huehuetán</v>
          </cell>
        </row>
        <row r="40">
          <cell r="B40" t="str">
            <v>Huitiupán</v>
          </cell>
        </row>
        <row r="41">
          <cell r="B41" t="str">
            <v>Huixtán</v>
          </cell>
        </row>
        <row r="42">
          <cell r="B42" t="str">
            <v>Huixtla</v>
          </cell>
        </row>
        <row r="43">
          <cell r="B43" t="str">
            <v>Ixhuatán</v>
          </cell>
        </row>
        <row r="44">
          <cell r="B44" t="str">
            <v>Ixtacomitán</v>
          </cell>
        </row>
        <row r="45">
          <cell r="B45" t="str">
            <v>Ixtapa</v>
          </cell>
        </row>
        <row r="46">
          <cell r="B46" t="str">
            <v>Ixtapangajoya</v>
          </cell>
        </row>
        <row r="47">
          <cell r="B47" t="str">
            <v>Jiquipilas</v>
          </cell>
        </row>
        <row r="48">
          <cell r="B48" t="str">
            <v>Jitotol</v>
          </cell>
        </row>
        <row r="49">
          <cell r="B49" t="str">
            <v>Juárez</v>
          </cell>
        </row>
        <row r="50">
          <cell r="B50" t="str">
            <v>La Concordia</v>
          </cell>
        </row>
        <row r="51">
          <cell r="B51" t="str">
            <v>La Grandeza</v>
          </cell>
        </row>
        <row r="52">
          <cell r="B52" t="str">
            <v>La Independencia</v>
          </cell>
        </row>
        <row r="53">
          <cell r="B53" t="str">
            <v>La Libertad</v>
          </cell>
        </row>
        <row r="54">
          <cell r="B54" t="str">
            <v>La Trinitaria</v>
          </cell>
        </row>
        <row r="55">
          <cell r="B55" t="str">
            <v>Larráinzar</v>
          </cell>
        </row>
        <row r="56">
          <cell r="B56" t="str">
            <v>Las Margaritas</v>
          </cell>
        </row>
        <row r="57">
          <cell r="B57" t="str">
            <v>Las Rosas</v>
          </cell>
        </row>
        <row r="58">
          <cell r="B58" t="str">
            <v>Mapastepec</v>
          </cell>
        </row>
        <row r="59">
          <cell r="B59" t="str">
            <v>Maravilla Tenejapa</v>
          </cell>
        </row>
        <row r="60">
          <cell r="B60" t="str">
            <v>Marqués de Comillas</v>
          </cell>
        </row>
        <row r="61">
          <cell r="B61" t="str">
            <v>Mazapa de Madero</v>
          </cell>
        </row>
        <row r="62">
          <cell r="B62" t="str">
            <v>Mazatán</v>
          </cell>
        </row>
        <row r="63">
          <cell r="B63" t="str">
            <v>Metapa</v>
          </cell>
        </row>
        <row r="64">
          <cell r="B64" t="str">
            <v>Mitontic</v>
          </cell>
        </row>
        <row r="65">
          <cell r="B65" t="str">
            <v>Montecristo de Guerrero</v>
          </cell>
        </row>
        <row r="66">
          <cell r="B66" t="str">
            <v>Motozintla</v>
          </cell>
        </row>
        <row r="67">
          <cell r="B67" t="str">
            <v>Nicolás Ruíz</v>
          </cell>
        </row>
        <row r="68">
          <cell r="B68" t="str">
            <v>Ocosingo</v>
          </cell>
        </row>
        <row r="69">
          <cell r="B69" t="str">
            <v>Ocotepec</v>
          </cell>
        </row>
        <row r="70">
          <cell r="B70" t="str">
            <v>Ocozocoautla de Espinosa</v>
          </cell>
        </row>
        <row r="71">
          <cell r="B71" t="str">
            <v>Ostuacán</v>
          </cell>
        </row>
        <row r="72">
          <cell r="B72" t="str">
            <v>Osumacinta</v>
          </cell>
        </row>
        <row r="73">
          <cell r="B73" t="str">
            <v>Oxchuc</v>
          </cell>
        </row>
        <row r="74">
          <cell r="B74" t="str">
            <v>Palenque</v>
          </cell>
        </row>
        <row r="75">
          <cell r="B75" t="str">
            <v>Pantelhó</v>
          </cell>
        </row>
        <row r="76">
          <cell r="B76" t="str">
            <v>Pantepec</v>
          </cell>
        </row>
        <row r="77">
          <cell r="B77" t="str">
            <v>Pichucalco</v>
          </cell>
        </row>
        <row r="78">
          <cell r="B78" t="str">
            <v>Pijijiapan</v>
          </cell>
        </row>
        <row r="79">
          <cell r="B79" t="str">
            <v>Pueblo Nuevo Solistahuacán</v>
          </cell>
        </row>
        <row r="80">
          <cell r="B80" t="str">
            <v>Rayón</v>
          </cell>
        </row>
        <row r="81">
          <cell r="B81" t="str">
            <v>Reforma</v>
          </cell>
        </row>
        <row r="82">
          <cell r="B82" t="str">
            <v>Sabanilla</v>
          </cell>
        </row>
        <row r="83">
          <cell r="B83" t="str">
            <v>Salto de Agua</v>
          </cell>
        </row>
        <row r="84">
          <cell r="B84" t="str">
            <v>San Andrés Duraznal</v>
          </cell>
        </row>
        <row r="85">
          <cell r="B85" t="str">
            <v>San Cristóbal de las Casas</v>
          </cell>
        </row>
        <row r="86">
          <cell r="B86" t="str">
            <v>San Fernando</v>
          </cell>
        </row>
        <row r="87">
          <cell r="B87" t="str">
            <v>San Juan Cancuc</v>
          </cell>
        </row>
        <row r="88">
          <cell r="B88" t="str">
            <v>San Lucas</v>
          </cell>
        </row>
        <row r="89">
          <cell r="B89" t="str">
            <v>Santiago el Pinar</v>
          </cell>
        </row>
        <row r="90">
          <cell r="B90" t="str">
            <v>Siltepec</v>
          </cell>
        </row>
        <row r="91">
          <cell r="B91" t="str">
            <v>Simojovel</v>
          </cell>
        </row>
        <row r="92">
          <cell r="B92" t="str">
            <v>Sitalá</v>
          </cell>
        </row>
        <row r="93">
          <cell r="B93" t="str">
            <v>Socoltenango</v>
          </cell>
        </row>
        <row r="94">
          <cell r="B94" t="str">
            <v>Solosuchiapa</v>
          </cell>
        </row>
        <row r="95">
          <cell r="B95" t="str">
            <v>Soyaló</v>
          </cell>
        </row>
        <row r="96">
          <cell r="B96" t="str">
            <v>Suchiapa</v>
          </cell>
        </row>
        <row r="97">
          <cell r="B97" t="str">
            <v>Suchiate</v>
          </cell>
        </row>
        <row r="98">
          <cell r="B98" t="str">
            <v>Sunuapa</v>
          </cell>
        </row>
        <row r="99">
          <cell r="B99" t="str">
            <v>Tapachula</v>
          </cell>
        </row>
        <row r="100">
          <cell r="B100" t="str">
            <v>Tapalapa</v>
          </cell>
        </row>
        <row r="101">
          <cell r="B101" t="str">
            <v>Tapilula</v>
          </cell>
        </row>
        <row r="102">
          <cell r="B102" t="str">
            <v>Tecpatán</v>
          </cell>
        </row>
        <row r="103">
          <cell r="B103" t="str">
            <v>Tenejapa</v>
          </cell>
        </row>
        <row r="104">
          <cell r="B104" t="str">
            <v>Teopisca</v>
          </cell>
        </row>
        <row r="105">
          <cell r="B105" t="str">
            <v>Tila</v>
          </cell>
        </row>
        <row r="106">
          <cell r="B106" t="str">
            <v>Tonalá</v>
          </cell>
        </row>
        <row r="107">
          <cell r="B107" t="str">
            <v>Totolapa</v>
          </cell>
        </row>
        <row r="108">
          <cell r="B108" t="str">
            <v>Tumbalá</v>
          </cell>
        </row>
        <row r="109">
          <cell r="B109" t="str">
            <v>Tuxtla Chico</v>
          </cell>
        </row>
        <row r="110">
          <cell r="B110" t="str">
            <v>Tuxtla Gutiérrez</v>
          </cell>
        </row>
        <row r="111">
          <cell r="B111" t="str">
            <v>Tuzantán</v>
          </cell>
        </row>
        <row r="112">
          <cell r="B112" t="str">
            <v>Tzimol</v>
          </cell>
        </row>
        <row r="113">
          <cell r="B113" t="str">
            <v>Unión Juárez</v>
          </cell>
        </row>
        <row r="114">
          <cell r="B114" t="str">
            <v>Venustiano Carranza</v>
          </cell>
        </row>
        <row r="115">
          <cell r="B115" t="str">
            <v>Villa Comaltitlán</v>
          </cell>
        </row>
        <row r="116">
          <cell r="B116" t="str">
            <v>Villa Corzo</v>
          </cell>
        </row>
        <row r="117">
          <cell r="B117" t="str">
            <v>Villaflores</v>
          </cell>
        </row>
        <row r="118">
          <cell r="B118" t="str">
            <v>Yajalón</v>
          </cell>
        </row>
        <row r="119">
          <cell r="B119" t="str">
            <v>Zinacantán</v>
          </cell>
        </row>
        <row r="120">
          <cell r="B120" t="str">
            <v>Cobertura Estatal</v>
          </cell>
        </row>
      </sheetData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B1:H33"/>
  <sheetViews>
    <sheetView showGridLines="0" tabSelected="1" view="pageBreakPreview" zoomScale="70" zoomScaleNormal="70" zoomScaleSheetLayoutView="70" workbookViewId="0">
      <selection activeCell="F12" sqref="F12"/>
    </sheetView>
  </sheetViews>
  <sheetFormatPr baseColWidth="10" defaultColWidth="11.42578125" defaultRowHeight="14.25" x14ac:dyDescent="0.2"/>
  <cols>
    <col min="1" max="1" width="1.7109375" style="1" customWidth="1"/>
    <col min="2" max="2" width="63.85546875" style="1" customWidth="1"/>
    <col min="3" max="3" width="39.5703125" style="1" customWidth="1"/>
    <col min="4" max="8" width="36.7109375" style="1" customWidth="1"/>
    <col min="9" max="9" width="3.140625" style="1" customWidth="1"/>
    <col min="10" max="16384" width="11.42578125" style="1"/>
  </cols>
  <sheetData>
    <row r="1" spans="2:8" ht="4.5" customHeight="1" thickBot="1" x14ac:dyDescent="0.25"/>
    <row r="2" spans="2:8" s="5" customFormat="1" ht="6" customHeight="1" x14ac:dyDescent="0.2">
      <c r="B2" s="2"/>
      <c r="C2" s="3"/>
      <c r="D2" s="3"/>
      <c r="E2" s="3"/>
      <c r="F2" s="3"/>
      <c r="G2" s="3"/>
      <c r="H2" s="4"/>
    </row>
    <row r="3" spans="2:8" s="5" customFormat="1" ht="24" customHeight="1" x14ac:dyDescent="0.2">
      <c r="B3" s="6"/>
      <c r="C3" s="66" t="s">
        <v>0</v>
      </c>
      <c r="D3" s="66"/>
      <c r="E3" s="66"/>
      <c r="F3" s="66"/>
      <c r="G3" s="66"/>
      <c r="H3" s="67"/>
    </row>
    <row r="4" spans="2:8" s="5" customFormat="1" ht="24" customHeight="1" x14ac:dyDescent="0.2">
      <c r="B4" s="7"/>
      <c r="C4" s="68" t="s">
        <v>28</v>
      </c>
      <c r="D4" s="68"/>
      <c r="E4" s="68"/>
      <c r="F4" s="68"/>
      <c r="G4" s="68"/>
      <c r="H4" s="69"/>
    </row>
    <row r="5" spans="2:8" s="5" customFormat="1" ht="30.75" customHeight="1" x14ac:dyDescent="0.2">
      <c r="B5" s="8"/>
      <c r="C5" s="70" t="s">
        <v>29</v>
      </c>
      <c r="D5" s="70"/>
      <c r="E5" s="70"/>
      <c r="F5" s="70"/>
      <c r="G5" s="70"/>
      <c r="H5" s="71"/>
    </row>
    <row r="6" spans="2:8" s="5" customFormat="1" ht="24" customHeight="1" x14ac:dyDescent="0.2">
      <c r="B6" s="9"/>
      <c r="C6" s="10"/>
      <c r="D6" s="10"/>
      <c r="E6" s="10"/>
      <c r="F6" s="10"/>
      <c r="G6" s="10"/>
      <c r="H6" s="11"/>
    </row>
    <row r="7" spans="2:8" s="5" customFormat="1" ht="13.5" customHeight="1" x14ac:dyDescent="0.2">
      <c r="B7" s="12"/>
      <c r="C7" s="13"/>
      <c r="D7" s="13"/>
      <c r="E7" s="13"/>
      <c r="F7" s="13"/>
      <c r="G7" s="13"/>
      <c r="H7" s="14"/>
    </row>
    <row r="8" spans="2:8" s="5" customFormat="1" ht="13.5" customHeight="1" x14ac:dyDescent="0.25">
      <c r="B8" s="15" t="s">
        <v>1</v>
      </c>
      <c r="C8" s="16"/>
      <c r="D8" s="17"/>
      <c r="E8" s="17"/>
      <c r="F8" s="17"/>
      <c r="G8" s="18" t="s">
        <v>2</v>
      </c>
      <c r="H8" s="19"/>
    </row>
    <row r="9" spans="2:8" s="5" customFormat="1" ht="15.75" thickBot="1" x14ac:dyDescent="0.3">
      <c r="B9" s="20"/>
      <c r="C9" s="21"/>
      <c r="D9" s="22"/>
      <c r="E9" s="22"/>
      <c r="F9" s="22"/>
      <c r="G9" s="22"/>
      <c r="H9" s="23"/>
    </row>
    <row r="10" spans="2:8" ht="33" customHeight="1" thickBot="1" x14ac:dyDescent="0.25">
      <c r="B10" s="24"/>
      <c r="C10" s="25"/>
      <c r="D10" s="25"/>
      <c r="E10" s="25"/>
      <c r="F10" s="25"/>
      <c r="G10" s="25"/>
      <c r="H10" s="25"/>
    </row>
    <row r="11" spans="2:8" s="26" customFormat="1" ht="35.25" customHeight="1" thickBot="1" x14ac:dyDescent="0.35">
      <c r="B11" s="72" t="s">
        <v>3</v>
      </c>
      <c r="C11" s="75" t="s">
        <v>30</v>
      </c>
      <c r="D11" s="76"/>
      <c r="E11" s="77"/>
      <c r="F11" s="75" t="s">
        <v>31</v>
      </c>
      <c r="G11" s="76"/>
      <c r="H11" s="77"/>
    </row>
    <row r="12" spans="2:8" s="26" customFormat="1" ht="60.75" x14ac:dyDescent="0.3">
      <c r="B12" s="73"/>
      <c r="C12" s="27" t="s">
        <v>4</v>
      </c>
      <c r="D12" s="27" t="s">
        <v>5</v>
      </c>
      <c r="E12" s="28" t="s">
        <v>6</v>
      </c>
      <c r="F12" s="29" t="s">
        <v>7</v>
      </c>
      <c r="G12" s="27" t="s">
        <v>8</v>
      </c>
      <c r="H12" s="27" t="s">
        <v>9</v>
      </c>
    </row>
    <row r="13" spans="2:8" s="26" customFormat="1" ht="41.25" thickBot="1" x14ac:dyDescent="0.35">
      <c r="B13" s="74"/>
      <c r="C13" s="30" t="s">
        <v>10</v>
      </c>
      <c r="D13" s="30" t="s">
        <v>11</v>
      </c>
      <c r="E13" s="31" t="s">
        <v>12</v>
      </c>
      <c r="F13" s="32" t="s">
        <v>13</v>
      </c>
      <c r="G13" s="30" t="s">
        <v>14</v>
      </c>
      <c r="H13" s="30" t="s">
        <v>15</v>
      </c>
    </row>
    <row r="14" spans="2:8" s="35" customFormat="1" ht="75.75" customHeight="1" x14ac:dyDescent="0.25">
      <c r="B14" s="33" t="s">
        <v>16</v>
      </c>
      <c r="C14" s="34">
        <f t="shared" ref="C14:E14" si="0">SUM(C15:C17)</f>
        <v>95</v>
      </c>
      <c r="D14" s="34">
        <f t="shared" si="0"/>
        <v>9</v>
      </c>
      <c r="E14" s="34">
        <f t="shared" si="0"/>
        <v>86</v>
      </c>
      <c r="F14" s="34">
        <v>80</v>
      </c>
      <c r="G14" s="34">
        <v>5</v>
      </c>
      <c r="H14" s="34">
        <f>SUM(H15:H17)</f>
        <v>12</v>
      </c>
    </row>
    <row r="15" spans="2:8" s="35" customFormat="1" ht="75.75" customHeight="1" x14ac:dyDescent="0.25">
      <c r="B15" s="36" t="s">
        <v>17</v>
      </c>
      <c r="C15" s="37">
        <v>85</v>
      </c>
      <c r="D15" s="37">
        <v>7</v>
      </c>
      <c r="E15" s="37">
        <f>C15-D15</f>
        <v>78</v>
      </c>
      <c r="F15" s="37">
        <v>65</v>
      </c>
      <c r="G15" s="37">
        <v>2</v>
      </c>
      <c r="H15" s="37">
        <f>E15-F15-G15</f>
        <v>11</v>
      </c>
    </row>
    <row r="16" spans="2:8" s="35" customFormat="1" ht="75.75" customHeight="1" x14ac:dyDescent="0.25">
      <c r="B16" s="38" t="s">
        <v>18</v>
      </c>
      <c r="C16" s="37">
        <v>10</v>
      </c>
      <c r="D16" s="37">
        <v>2</v>
      </c>
      <c r="E16" s="37">
        <f t="shared" ref="E16" si="1">C16-D16</f>
        <v>8</v>
      </c>
      <c r="F16" s="37">
        <v>7</v>
      </c>
      <c r="G16" s="37">
        <v>0</v>
      </c>
      <c r="H16" s="37">
        <f t="shared" ref="H16" si="2">E16-F16-G16</f>
        <v>1</v>
      </c>
    </row>
    <row r="17" spans="2:8" s="35" customFormat="1" ht="75.75" customHeight="1" thickBot="1" x14ac:dyDescent="0.3">
      <c r="B17" s="39"/>
      <c r="C17" s="40"/>
      <c r="D17" s="40"/>
      <c r="E17" s="40"/>
      <c r="F17" s="40"/>
      <c r="G17" s="40"/>
      <c r="H17" s="40"/>
    </row>
    <row r="18" spans="2:8" x14ac:dyDescent="0.2">
      <c r="B18" s="41"/>
      <c r="C18" s="42"/>
      <c r="D18" s="42"/>
      <c r="E18" s="42"/>
      <c r="F18" s="42"/>
      <c r="G18" s="43"/>
      <c r="H18" s="43"/>
    </row>
    <row r="19" spans="2:8" ht="27.75" customHeight="1" x14ac:dyDescent="0.2">
      <c r="B19" s="44" t="s">
        <v>19</v>
      </c>
      <c r="G19" s="45"/>
      <c r="H19" s="45"/>
    </row>
    <row r="20" spans="2:8" ht="27.75" customHeight="1" x14ac:dyDescent="0.25">
      <c r="C20" s="46"/>
      <c r="D20" s="46"/>
      <c r="E20" s="46"/>
      <c r="F20" s="46"/>
      <c r="G20" s="47"/>
      <c r="H20" s="48"/>
    </row>
    <row r="21" spans="2:8" ht="27.75" customHeight="1" x14ac:dyDescent="0.25">
      <c r="B21" s="49" t="s">
        <v>20</v>
      </c>
      <c r="C21" s="46"/>
      <c r="D21" s="46"/>
      <c r="E21" s="46"/>
      <c r="F21" s="46"/>
      <c r="G21" s="47"/>
      <c r="H21" s="48"/>
    </row>
    <row r="22" spans="2:8" ht="27.75" customHeight="1" x14ac:dyDescent="0.25">
      <c r="C22" s="46"/>
      <c r="D22" s="46"/>
      <c r="E22" s="46"/>
      <c r="F22" s="46"/>
      <c r="G22" s="47"/>
      <c r="H22" s="48"/>
    </row>
    <row r="23" spans="2:8" ht="35.25" customHeight="1" x14ac:dyDescent="0.25">
      <c r="B23" s="50" t="s">
        <v>21</v>
      </c>
      <c r="C23" s="51"/>
      <c r="D23" s="51"/>
      <c r="E23" s="51"/>
      <c r="F23" s="51"/>
      <c r="G23" s="52"/>
      <c r="H23" s="48"/>
    </row>
    <row r="24" spans="2:8" ht="27.75" customHeight="1" x14ac:dyDescent="0.25">
      <c r="C24" s="51"/>
      <c r="D24" s="51"/>
      <c r="E24" s="51"/>
      <c r="F24" s="51"/>
      <c r="G24" s="53"/>
      <c r="H24" s="48"/>
    </row>
    <row r="25" spans="2:8" ht="27.75" customHeight="1" x14ac:dyDescent="0.25">
      <c r="B25" s="78" t="s">
        <v>22</v>
      </c>
      <c r="C25" s="78"/>
      <c r="D25" s="78"/>
      <c r="E25" s="51"/>
      <c r="F25" s="79" t="s">
        <v>23</v>
      </c>
      <c r="G25" s="79"/>
      <c r="H25" s="79"/>
    </row>
    <row r="26" spans="2:8" ht="27.75" customHeight="1" x14ac:dyDescent="0.2">
      <c r="B26" s="79" t="s">
        <v>24</v>
      </c>
      <c r="C26" s="79"/>
      <c r="D26" s="79"/>
      <c r="E26" s="54"/>
      <c r="F26" s="80" t="s">
        <v>25</v>
      </c>
      <c r="G26" s="80"/>
      <c r="H26" s="80"/>
    </row>
    <row r="27" spans="2:8" ht="27.75" customHeight="1" x14ac:dyDescent="0.25">
      <c r="B27" s="78" t="s">
        <v>26</v>
      </c>
      <c r="C27" s="78"/>
      <c r="D27" s="78"/>
      <c r="E27" s="55"/>
    </row>
    <row r="28" spans="2:8" ht="27.75" customHeight="1" x14ac:dyDescent="0.2">
      <c r="C28" s="56"/>
      <c r="D28" s="56"/>
      <c r="E28" s="54"/>
      <c r="G28" s="56"/>
    </row>
    <row r="29" spans="2:8" ht="27.75" customHeight="1" x14ac:dyDescent="0.2">
      <c r="B29" s="56"/>
      <c r="C29" s="56"/>
      <c r="D29" s="56"/>
      <c r="E29" s="57"/>
    </row>
    <row r="30" spans="2:8" ht="27.75" customHeight="1" x14ac:dyDescent="0.2">
      <c r="B30" s="56"/>
      <c r="C30" s="56"/>
      <c r="D30" s="56"/>
      <c r="E30" s="57"/>
    </row>
    <row r="31" spans="2:8" ht="27.75" customHeight="1" x14ac:dyDescent="0.2">
      <c r="B31" s="58"/>
      <c r="C31" s="58"/>
      <c r="D31" s="59"/>
      <c r="E31" s="60"/>
      <c r="F31" s="61"/>
      <c r="G31" s="62"/>
      <c r="H31" s="62"/>
    </row>
    <row r="32" spans="2:8" ht="27.75" customHeight="1" x14ac:dyDescent="0.2">
      <c r="B32" s="65" t="s">
        <v>27</v>
      </c>
      <c r="C32" s="65"/>
      <c r="D32" s="65"/>
      <c r="E32" s="63"/>
      <c r="F32" s="65" t="s">
        <v>27</v>
      </c>
      <c r="G32" s="65"/>
      <c r="H32" s="65"/>
    </row>
    <row r="33" spans="7:7" ht="15" x14ac:dyDescent="0.25">
      <c r="G33" s="64"/>
    </row>
  </sheetData>
  <mergeCells count="13">
    <mergeCell ref="B32:D32"/>
    <mergeCell ref="F32:H32"/>
    <mergeCell ref="C3:H3"/>
    <mergeCell ref="C4:H4"/>
    <mergeCell ref="C5:H5"/>
    <mergeCell ref="B11:B13"/>
    <mergeCell ref="C11:E11"/>
    <mergeCell ref="F11:H11"/>
    <mergeCell ref="B25:D25"/>
    <mergeCell ref="F25:H25"/>
    <mergeCell ref="B26:D26"/>
    <mergeCell ref="F26:H26"/>
    <mergeCell ref="B27:D27"/>
  </mergeCells>
  <printOptions horizontalCentered="1"/>
  <pageMargins left="0.19685039370078741" right="0.19685039370078741" top="0.78740157480314965" bottom="0.39370078740157483" header="0.23622047244094491" footer="0.19685039370078741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Cierre de Ejercicio</vt:lpstr>
      <vt:lpstr>'Cierre de Ejercicio'!Área_de_impresión</vt:lpstr>
      <vt:lpstr>'Cierre de Ejercicio'!Títulos_a_imprimir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2024-09-27T16:31:34Z</dcterms:created>
  <dcterms:modified xsi:type="dcterms:W3CDTF">2026-01-30T18:27:28Z</dcterms:modified>
</cp:coreProperties>
</file>