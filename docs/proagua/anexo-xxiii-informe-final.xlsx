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toledo\Documents\Proagua 2026\PROYECTO LINEAMIENTOS U074\FORMATOS U074\FORMATOS DEFINITIVOS\"/>
    </mc:Choice>
  </mc:AlternateContent>
  <bookViews>
    <workbookView xWindow="0" yWindow="0" windowWidth="28800" windowHeight="12300"/>
  </bookViews>
  <sheets>
    <sheet name="Resumen general" sheetId="4" r:id="rId1"/>
    <sheet name="Acciones rurales" sheetId="2" r:id="rId2"/>
    <sheet name="Acciones urbanas" sheetId="8" r:id="rId3"/>
    <sheet name="Catalogos2024" sheetId="10" state="hidden" r:id="rId4"/>
  </sheets>
  <externalReferences>
    <externalReference r:id="rId5"/>
    <externalReference r:id="rId6"/>
    <externalReference r:id="rId7"/>
    <externalReference r:id="rId8"/>
  </externalReferences>
  <definedNames>
    <definedName name="_4EquipInstru">[1]Catalogos!$AT$29:$AT$32+[1]Catalogos!$AT$29:$AT$32</definedName>
    <definedName name="_xlnm._FilterDatabase" localSheetId="1" hidden="1">'Acciones rurales'!$C$11:$AC$36</definedName>
    <definedName name="_xlnm._FilterDatabase" localSheetId="2" hidden="1">'Acciones urbanas'!$C$11:$AC$36</definedName>
    <definedName name="_xlnm._FilterDatabase" localSheetId="3" hidden="1">Catalogos2024!$A$52:$H$78</definedName>
    <definedName name="_xlnm.Print_Area" localSheetId="1">'Acciones rurales'!$A$1:$AC$55</definedName>
    <definedName name="_xlnm.Print_Area" localSheetId="2">'Acciones urbanas'!$A$1:$AC$53</definedName>
    <definedName name="AS">#REF!</definedName>
    <definedName name="avances">#REF!</definedName>
    <definedName name="avn">#REF!</definedName>
    <definedName name="Bienes">#REF!</definedName>
    <definedName name="CIE">#REF!</definedName>
    <definedName name="CIERRE">#REF!</definedName>
    <definedName name="Consultoría">#REF!</definedName>
    <definedName name="Consultoría_Individuos">#REF!</definedName>
    <definedName name="diagnostico">#REF!</definedName>
    <definedName name="Estados">#REF!</definedName>
    <definedName name="fdfsdfsdf">#REF!</definedName>
    <definedName name="FFFF">#REF!</definedName>
    <definedName name="ffsdfsdfsdfsdfsd">#REF!</definedName>
    <definedName name="FINAL">#REF!</definedName>
    <definedName name="FORMATO2">#REF!</definedName>
    <definedName name="FR">#REF!</definedName>
    <definedName name="h">[2]Catalogos!$AT$29:$AT$32+[2]Catalogos!$AT$29:$AT$32</definedName>
    <definedName name="JJ">#REF!</definedName>
    <definedName name="KK">#REF!</definedName>
    <definedName name="M_AP">Catalogos2024!$K$5:$K$9</definedName>
    <definedName name="ME_ALC">Catalogos2024!$K$18:$K$19</definedName>
    <definedName name="ME_AP">Catalogos2024!$K$5:$K$6</definedName>
    <definedName name="ME_SAN">Catalogos2024!$K$28:$K$29</definedName>
    <definedName name="MIERDA">#REF!</definedName>
    <definedName name="Monitoreo">#REF!</definedName>
    <definedName name="mono">#REF!</definedName>
    <definedName name="MUNICIPIO">'[3]Hoja1 (2)'!$A$2:$A$113</definedName>
    <definedName name="Municipios">[4]MuniZapios!$B$2:$B$120</definedName>
    <definedName name="N_ALC">Catalogos2024!$D$18:$D$23</definedName>
    <definedName name="N_AP">Catalogos2024!$D$5:$D$13</definedName>
    <definedName name="N_SAN">Catalogos2024!$D$28:$D$33</definedName>
    <definedName name="ngng">#REF!</definedName>
    <definedName name="Nuevo">#REF!</definedName>
    <definedName name="Nuevo2">#REF!</definedName>
    <definedName name="NVA_ALC">Catalogos2024!$D$18:$D$24</definedName>
    <definedName name="NVA_AP">Catalogos2024!$D$5:$D$14</definedName>
    <definedName name="NVA_SAN">Catalogos2024!$D$28:$D$36</definedName>
    <definedName name="Obras">#REF!</definedName>
    <definedName name="plan">#REF!</definedName>
    <definedName name="pp">#REF!</definedName>
    <definedName name="R_ALC">Catalogos2024!$H$18:$H$23</definedName>
    <definedName name="R_AP">Catalogos2024!$H$5:$H$13</definedName>
    <definedName name="R_SAN">Catalogos2024!$H$28:$H$33</definedName>
    <definedName name="REHA_ALC">Catalogos2024!$H$18:$H$24</definedName>
    <definedName name="REHA_AP">Catalogos2024!$H$5:$H$14</definedName>
    <definedName name="REHA_SAN">Catalogos2024!$H$28:$H$34</definedName>
    <definedName name="ret">#REF!</definedName>
    <definedName name="Selección">#REF!</definedName>
    <definedName name="Tipo_de_adquisición">#REF!</definedName>
    <definedName name="_xlnm.Print_Titles" localSheetId="1">'Acciones rurales'!$1:$13</definedName>
    <definedName name="_xlnm.Print_Titles" localSheetId="2">'Acciones urbanas'!$1:$13</definedName>
    <definedName name="TTT">#REF!</definedName>
    <definedName name="VIEJO">#REF!</definedName>
    <definedName name="xxxx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5" i="8" l="1"/>
  <c r="AB34" i="8"/>
  <c r="AB33" i="8"/>
  <c r="AB30" i="8"/>
  <c r="AB29" i="8"/>
  <c r="AB28" i="8"/>
  <c r="AB27" i="8"/>
  <c r="AB24" i="8"/>
  <c r="AB23" i="8"/>
  <c r="AB22" i="8"/>
  <c r="AB21" i="8"/>
  <c r="AB18" i="8"/>
  <c r="AB17" i="8"/>
  <c r="AB16" i="8"/>
  <c r="AA25" i="8"/>
  <c r="Z25" i="8"/>
  <c r="Y25" i="8"/>
  <c r="X25" i="8"/>
  <c r="W25" i="8"/>
  <c r="O30" i="4"/>
  <c r="N30" i="4"/>
  <c r="M30" i="4"/>
  <c r="L30" i="4"/>
  <c r="K30" i="4"/>
  <c r="O29" i="4"/>
  <c r="N29" i="4"/>
  <c r="M29" i="4"/>
  <c r="L29" i="4"/>
  <c r="K29" i="4"/>
  <c r="O28" i="4"/>
  <c r="N28" i="4"/>
  <c r="M28" i="4"/>
  <c r="L28" i="4"/>
  <c r="K28" i="4"/>
  <c r="O26" i="4"/>
  <c r="N26" i="4"/>
  <c r="M26" i="4"/>
  <c r="L26" i="4"/>
  <c r="K26" i="4"/>
  <c r="O25" i="4"/>
  <c r="N25" i="4"/>
  <c r="N24" i="4"/>
  <c r="M25" i="4"/>
  <c r="L25" i="4"/>
  <c r="K25" i="4"/>
  <c r="O22" i="4"/>
  <c r="N22" i="4"/>
  <c r="M22" i="4"/>
  <c r="L22" i="4"/>
  <c r="K22" i="4"/>
  <c r="O21" i="4"/>
  <c r="N21" i="4"/>
  <c r="M21" i="4"/>
  <c r="L21" i="4"/>
  <c r="K21" i="4"/>
  <c r="D22" i="4"/>
  <c r="D21" i="4"/>
  <c r="K17" i="4"/>
  <c r="O19" i="4"/>
  <c r="O18" i="4"/>
  <c r="N19" i="4"/>
  <c r="N18" i="4"/>
  <c r="M19" i="4"/>
  <c r="M18" i="4"/>
  <c r="O17" i="4"/>
  <c r="N17" i="4"/>
  <c r="M17" i="4"/>
  <c r="L19" i="4"/>
  <c r="L18" i="4"/>
  <c r="L17" i="4"/>
  <c r="K19" i="4"/>
  <c r="L24" i="4"/>
  <c r="M24" i="4"/>
  <c r="O24" i="4"/>
  <c r="K24" i="4"/>
  <c r="K20" i="4"/>
  <c r="P28" i="4"/>
  <c r="M20" i="4"/>
  <c r="O20" i="4"/>
  <c r="AB25" i="8"/>
  <c r="P30" i="4"/>
  <c r="P29" i="4"/>
  <c r="P26" i="4"/>
  <c r="P25" i="4"/>
  <c r="N20" i="4"/>
  <c r="L20" i="4"/>
  <c r="P22" i="4"/>
  <c r="P21" i="4"/>
  <c r="P19" i="4"/>
  <c r="K18" i="4"/>
  <c r="P18" i="4"/>
  <c r="L16" i="4"/>
  <c r="P17" i="4"/>
  <c r="AB15" i="8"/>
  <c r="AB35" i="2"/>
  <c r="AB34" i="2"/>
  <c r="AB33" i="2"/>
  <c r="H30" i="4"/>
  <c r="G30" i="4"/>
  <c r="F30" i="4"/>
  <c r="E30" i="4"/>
  <c r="D30" i="4"/>
  <c r="H29" i="4"/>
  <c r="G29" i="4"/>
  <c r="F29" i="4"/>
  <c r="E29" i="4"/>
  <c r="D29" i="4"/>
  <c r="H28" i="4"/>
  <c r="G28" i="4"/>
  <c r="F28" i="4"/>
  <c r="E28" i="4"/>
  <c r="D28" i="4"/>
  <c r="AB27" i="2"/>
  <c r="AB30" i="2"/>
  <c r="H26" i="4"/>
  <c r="G26" i="4"/>
  <c r="H25" i="4"/>
  <c r="G25" i="4"/>
  <c r="F25" i="4"/>
  <c r="F26" i="4"/>
  <c r="E26" i="4"/>
  <c r="E25" i="4"/>
  <c r="D26" i="4"/>
  <c r="D25" i="4"/>
  <c r="D24" i="4"/>
  <c r="H22" i="4"/>
  <c r="G22" i="4"/>
  <c r="H21" i="4"/>
  <c r="G21" i="4"/>
  <c r="F22" i="4"/>
  <c r="F21" i="4"/>
  <c r="E22" i="4"/>
  <c r="E21" i="4"/>
  <c r="D20" i="4"/>
  <c r="H19" i="4"/>
  <c r="G19" i="4"/>
  <c r="H18" i="4"/>
  <c r="G18" i="4"/>
  <c r="H17" i="4"/>
  <c r="G17" i="4"/>
  <c r="F19" i="4"/>
  <c r="F18" i="4"/>
  <c r="F17" i="4"/>
  <c r="AA31" i="2"/>
  <c r="AA25" i="2"/>
  <c r="AA19" i="2"/>
  <c r="AA31" i="8"/>
  <c r="AA19" i="8"/>
  <c r="D17" i="4"/>
  <c r="E19" i="4"/>
  <c r="E18" i="4"/>
  <c r="E17" i="4"/>
  <c r="D19" i="4"/>
  <c r="O16" i="4"/>
  <c r="N16" i="4"/>
  <c r="M16" i="4"/>
  <c r="D18" i="4"/>
  <c r="S31" i="8"/>
  <c r="R31" i="8"/>
  <c r="Q31" i="8"/>
  <c r="P31" i="8"/>
  <c r="O31" i="8"/>
  <c r="S25" i="8"/>
  <c r="R25" i="8"/>
  <c r="Q25" i="8"/>
  <c r="P25" i="8"/>
  <c r="O25" i="8"/>
  <c r="S19" i="8"/>
  <c r="R19" i="8"/>
  <c r="Q19" i="8"/>
  <c r="P19" i="8"/>
  <c r="O19" i="8"/>
  <c r="Z31" i="8"/>
  <c r="Y31" i="8"/>
  <c r="X31" i="8"/>
  <c r="W31" i="8"/>
  <c r="AB31" i="8"/>
  <c r="Z19" i="8"/>
  <c r="Y19" i="8"/>
  <c r="X19" i="8"/>
  <c r="W19" i="8"/>
  <c r="X31" i="2"/>
  <c r="Z31" i="2"/>
  <c r="Y31" i="2"/>
  <c r="W31" i="2"/>
  <c r="AB29" i="2"/>
  <c r="AB28" i="2"/>
  <c r="Z25" i="2"/>
  <c r="Y25" i="2"/>
  <c r="X25" i="2"/>
  <c r="W25" i="2"/>
  <c r="AB24" i="2"/>
  <c r="AB23" i="2"/>
  <c r="AB22" i="2"/>
  <c r="AB21" i="2"/>
  <c r="S31" i="2"/>
  <c r="R31" i="2"/>
  <c r="Q31" i="2"/>
  <c r="P31" i="2"/>
  <c r="O31" i="2"/>
  <c r="S25" i="2"/>
  <c r="R25" i="2"/>
  <c r="Q25" i="2"/>
  <c r="P25" i="2"/>
  <c r="O25" i="2"/>
  <c r="Z19" i="2"/>
  <c r="Y19" i="2"/>
  <c r="X19" i="2"/>
  <c r="W19" i="2"/>
  <c r="S19" i="2"/>
  <c r="O19" i="2"/>
  <c r="AB18" i="2"/>
  <c r="AB17" i="2"/>
  <c r="AB16" i="2"/>
  <c r="AB15" i="2"/>
  <c r="O32" i="4"/>
  <c r="P24" i="4"/>
  <c r="S36" i="2"/>
  <c r="O36" i="2"/>
  <c r="M32" i="4"/>
  <c r="P36" i="8"/>
  <c r="AA36" i="8"/>
  <c r="I28" i="4"/>
  <c r="AB31" i="2"/>
  <c r="AA36" i="2"/>
  <c r="Z36" i="2"/>
  <c r="D16" i="4"/>
  <c r="D32" i="4"/>
  <c r="X36" i="8"/>
  <c r="F24" i="4"/>
  <c r="E24" i="4"/>
  <c r="H20" i="4"/>
  <c r="L32" i="4"/>
  <c r="N32" i="4"/>
  <c r="P20" i="4"/>
  <c r="AB19" i="8"/>
  <c r="P16" i="4"/>
  <c r="K16" i="4"/>
  <c r="K32" i="4"/>
  <c r="Z36" i="8"/>
  <c r="I29" i="4"/>
  <c r="I30" i="4"/>
  <c r="H24" i="4"/>
  <c r="G24" i="4"/>
  <c r="Y36" i="2"/>
  <c r="F20" i="4"/>
  <c r="G20" i="4"/>
  <c r="E20" i="4"/>
  <c r="H16" i="4"/>
  <c r="G16" i="4"/>
  <c r="Y36" i="8"/>
  <c r="F16" i="4"/>
  <c r="E16" i="4"/>
  <c r="AB19" i="2"/>
  <c r="AB36" i="8"/>
  <c r="S36" i="8"/>
  <c r="R36" i="8"/>
  <c r="O36" i="8"/>
  <c r="Q36" i="8"/>
  <c r="AB25" i="2"/>
  <c r="W36" i="8"/>
  <c r="X36" i="2"/>
  <c r="W36" i="2"/>
  <c r="F32" i="4"/>
  <c r="M34" i="4"/>
  <c r="K34" i="4"/>
  <c r="E32" i="4"/>
  <c r="L34" i="4"/>
  <c r="G32" i="4"/>
  <c r="N34" i="4"/>
  <c r="H32" i="4"/>
  <c r="O34" i="4"/>
  <c r="P32" i="4"/>
  <c r="AB36" i="2"/>
  <c r="P34" i="4"/>
  <c r="P19" i="2"/>
  <c r="P36" i="2"/>
  <c r="Q19" i="2"/>
  <c r="Q36" i="2"/>
  <c r="R19" i="2"/>
  <c r="R36" i="2"/>
  <c r="I21" i="4"/>
  <c r="I22" i="4"/>
  <c r="I26" i="4"/>
  <c r="I25" i="4"/>
  <c r="I24" i="4"/>
  <c r="I20" i="4"/>
  <c r="I19" i="4"/>
  <c r="I18" i="4"/>
  <c r="I17" i="4"/>
  <c r="I16" i="4"/>
  <c r="I32" i="4"/>
</calcChain>
</file>

<file path=xl/sharedStrings.xml><?xml version="1.0" encoding="utf-8"?>
<sst xmlns="http://schemas.openxmlformats.org/spreadsheetml/2006/main" count="349" uniqueCount="176">
  <si>
    <t>No.</t>
  </si>
  <si>
    <t>Localización</t>
  </si>
  <si>
    <t>Clave INEGI
(9 dígitos)</t>
  </si>
  <si>
    <t xml:space="preserve">Municipio </t>
  </si>
  <si>
    <t>Localidad</t>
  </si>
  <si>
    <t>Incorp.</t>
  </si>
  <si>
    <t>Mejor.</t>
  </si>
  <si>
    <t>Mujeres</t>
  </si>
  <si>
    <t>Federal</t>
  </si>
  <si>
    <t>Indígena</t>
  </si>
  <si>
    <t>Afromexicano</t>
  </si>
  <si>
    <t>Metas</t>
  </si>
  <si>
    <t>Unidad</t>
  </si>
  <si>
    <t>Cantidad</t>
  </si>
  <si>
    <t>Estatal</t>
  </si>
  <si>
    <t>Municipal</t>
  </si>
  <si>
    <t>Estructura financiera</t>
  </si>
  <si>
    <t>Ejecutor:</t>
  </si>
  <si>
    <t>TOTAL</t>
  </si>
  <si>
    <t xml:space="preserve"> </t>
  </si>
  <si>
    <t>Componente Agua potable</t>
  </si>
  <si>
    <t>Nuevo</t>
  </si>
  <si>
    <t>Rehabilitado</t>
  </si>
  <si>
    <t xml:space="preserve">Mejoramiento de eficiencia </t>
  </si>
  <si>
    <t>Participación social / Atención Social</t>
  </si>
  <si>
    <t>Participación social / Contraloria Social</t>
  </si>
  <si>
    <t>Componente Alcantarillado</t>
  </si>
  <si>
    <t>Componente Saneamiento</t>
  </si>
  <si>
    <t>Supervisión Técnica</t>
  </si>
  <si>
    <t>T O T A L</t>
  </si>
  <si>
    <t>Deberán firmar las mismas personas que suscribieron el Anexo de Ejecución</t>
  </si>
  <si>
    <t>Entidad Federativa:</t>
  </si>
  <si>
    <t>Descripción (clara) de acción</t>
  </si>
  <si>
    <t>Acción</t>
  </si>
  <si>
    <t>Sub
componente
( N, R o M)</t>
  </si>
  <si>
    <t>Acciones para Infraestructura de agua potable, alcantarillado y saneamiento (Localidades Rurales)</t>
  </si>
  <si>
    <t>Componente Agua Potable</t>
  </si>
  <si>
    <t>Por el Beneficiario</t>
  </si>
  <si>
    <t>Por la Instancia Ejecutora</t>
  </si>
  <si>
    <t>(Quien conforme a su normatividad tenga atribuciones)</t>
  </si>
  <si>
    <t>Por el Ejecutivo Federal</t>
  </si>
  <si>
    <t>Secretaría de Medio Ambiente y Recursos Naturales</t>
  </si>
  <si>
    <t>Comisión Nacional del Agua</t>
  </si>
  <si>
    <t>(nombre, cargo y firma)</t>
  </si>
  <si>
    <t>* Estrategias impactadas:</t>
  </si>
  <si>
    <t>Supervisión técnica</t>
  </si>
  <si>
    <t>ROP
Anexo IV</t>
  </si>
  <si>
    <t>Total componente Agua Potable</t>
  </si>
  <si>
    <t>Total componente Alcantarillado</t>
  </si>
  <si>
    <t>Total componente Saneamiento</t>
  </si>
  <si>
    <t>% de
Aportación
Federal</t>
  </si>
  <si>
    <t xml:space="preserve">Grado de
marginación
(CONAPO) </t>
  </si>
  <si>
    <t>Acciones para Infraestructura de agua potable, alcantarillado y saneamiento (Localidades Urbanas)</t>
  </si>
  <si>
    <t>Entidad Federativa: __________________________________</t>
  </si>
  <si>
    <t>Fuente de financiamiento</t>
  </si>
  <si>
    <t>Localidades Rurales</t>
  </si>
  <si>
    <t>Localidades Urbanas</t>
  </si>
  <si>
    <t>Montos totales (localidades rurales y urbanas)</t>
  </si>
  <si>
    <t>Estado</t>
  </si>
  <si>
    <t>Municipio</t>
  </si>
  <si>
    <t>Organismo operador</t>
  </si>
  <si>
    <t>Otros</t>
  </si>
  <si>
    <t>Total</t>
  </si>
  <si>
    <t>Componente/Subcomponente</t>
  </si>
  <si>
    <t>R e s u m e n      G e n e r a l</t>
  </si>
  <si>
    <t>Acciones para infraestructura de agua potable, alcantarillado y saneamiento en localidades rurales y urbanas</t>
  </si>
  <si>
    <t>Clave única de acción
(CUA)</t>
  </si>
  <si>
    <t>Notas</t>
  </si>
  <si>
    <t>SUBCOMPONENTES</t>
  </si>
  <si>
    <t>TIPOS DE ACCION POR SUBCOMPOENTES Agua, Alcantarillado y Saneamiento</t>
  </si>
  <si>
    <t>SubComponente Agua Potable</t>
  </si>
  <si>
    <t>Indice</t>
  </si>
  <si>
    <t>_1ObrCapSub</t>
  </si>
  <si>
    <t>_2ObrCapSup</t>
  </si>
  <si>
    <t>_3LinConduc</t>
  </si>
  <si>
    <t>_4Tque</t>
  </si>
  <si>
    <t>_5PP</t>
  </si>
  <si>
    <t>_6RedDistri</t>
  </si>
  <si>
    <t>_8Equip</t>
  </si>
  <si>
    <t>_9SisInte</t>
  </si>
  <si>
    <t>_11ProyEst</t>
  </si>
  <si>
    <t>_1Capa</t>
  </si>
  <si>
    <t>SubComponente Alcantarillado</t>
  </si>
  <si>
    <t>Informe</t>
  </si>
  <si>
    <t>SubComponente Saneamiento</t>
  </si>
  <si>
    <t>_1SistAtarjea</t>
  </si>
  <si>
    <t>_2SistColec</t>
  </si>
  <si>
    <t>_4Equip</t>
  </si>
  <si>
    <t>_5SisInte</t>
  </si>
  <si>
    <t>_7ProyEst</t>
  </si>
  <si>
    <t>_1SaneaBas</t>
  </si>
  <si>
    <t>_2PTAR</t>
  </si>
  <si>
    <t>_4ReuInter</t>
  </si>
  <si>
    <t>_5Emisor</t>
  </si>
  <si>
    <t>_6Equipa</t>
  </si>
  <si>
    <t>_8ProyEst</t>
  </si>
  <si>
    <t>N</t>
  </si>
  <si>
    <t>R</t>
  </si>
  <si>
    <t>M</t>
  </si>
  <si>
    <t>(A.1) Obra de captación subterránea</t>
  </si>
  <si>
    <t>(A.2) Obra de captación superficial</t>
  </si>
  <si>
    <t>(A.3) Línea de conducción</t>
  </si>
  <si>
    <t>(A.4) Tanque</t>
  </si>
  <si>
    <t>(A.5) Planta potabilizadora</t>
  </si>
  <si>
    <t>(A.6) Redes de distribución</t>
  </si>
  <si>
    <t>(A.7) Equipamiento</t>
  </si>
  <si>
    <t>(A.8) Sistema integrado</t>
  </si>
  <si>
    <t>(A.10) Estudios y proyectos</t>
  </si>
  <si>
    <t>(A.1) Equipamiento o instrumentación</t>
  </si>
  <si>
    <t>(A.2) Sistema comercial</t>
  </si>
  <si>
    <t>(A.3) Estudios y diagnósticos</t>
  </si>
  <si>
    <t>(A.4) Pérdidas físicas de agua</t>
  </si>
  <si>
    <t>(A.5) Fortalecimiento de capacidades</t>
  </si>
  <si>
    <t>=INDIRECTO("N_AP")</t>
  </si>
  <si>
    <t>N_AP</t>
  </si>
  <si>
    <t>=INDIRECTO("R_AP")</t>
  </si>
  <si>
    <t>R_AP</t>
  </si>
  <si>
    <t>=INDIRECTO("M_AP")</t>
  </si>
  <si>
    <t>M_AP</t>
  </si>
  <si>
    <t>N_ALC</t>
  </si>
  <si>
    <t>=INDIRECTO("N_ALC")</t>
  </si>
  <si>
    <t>R_ALC</t>
  </si>
  <si>
    <t>=INDIRECTO("R_ALC")</t>
  </si>
  <si>
    <t>M_ALC</t>
  </si>
  <si>
    <t>=INDIRECTO("M_ALC")</t>
  </si>
  <si>
    <t>N_SAN</t>
  </si>
  <si>
    <t>=INDIRECTO("N_SAN")</t>
  </si>
  <si>
    <t>R_SAN</t>
  </si>
  <si>
    <t>=INDIRECTO("R_SAN")</t>
  </si>
  <si>
    <t>M_SAN</t>
  </si>
  <si>
    <t>=INDIRECTO("M_SAN")</t>
  </si>
  <si>
    <t>(A.1) Sistema de atarjeas</t>
  </si>
  <si>
    <t>(A.2) Sistema de colectores</t>
  </si>
  <si>
    <t>(A.3) Equipamiento</t>
  </si>
  <si>
    <t>(A.4) Sistema integrado*</t>
  </si>
  <si>
    <t>(A.6) Estudios y proyectos</t>
  </si>
  <si>
    <t>(A.1) Saneamiento básico</t>
  </si>
  <si>
    <t>(A.2) Planta de tratamiento de aguas residuales</t>
  </si>
  <si>
    <t>(A.3) Reutilización o intercambio de agua tratada</t>
  </si>
  <si>
    <t>(A.4) Emisor</t>
  </si>
  <si>
    <t>(A.5) Equipamiento</t>
  </si>
  <si>
    <t>(A.7) Estudios y proyectos</t>
  </si>
  <si>
    <t>Expediente</t>
  </si>
  <si>
    <t>DH</t>
  </si>
  <si>
    <t>CI</t>
  </si>
  <si>
    <t>PP</t>
  </si>
  <si>
    <t>Derechos Humanos</t>
  </si>
  <si>
    <t>Compromiso Internacional</t>
  </si>
  <si>
    <t>Proyecto prioritario</t>
  </si>
  <si>
    <t>Informe final de acciones</t>
  </si>
  <si>
    <t>Fecha de elaboración:</t>
  </si>
  <si>
    <t>El presente Informe final se firma en cuatro ejemplares originales, a los  ______  días del mes de _____________ de 202_</t>
  </si>
  <si>
    <t>El presente informe final se firma en cuatro ejemplares originales, a los  ______  días del mes de _____________ de 202_</t>
  </si>
  <si>
    <t>Habitantes beneficiados (por localidad)</t>
  </si>
  <si>
    <t>Acciones de estudios y proyectos, no registrar habitantes beneficiados.</t>
  </si>
  <si>
    <t>La suma de habitantes beneficiados, no debe ser mayor a la población total.</t>
  </si>
  <si>
    <t>El presente informe final se llenará por la instancia ejecutora.</t>
  </si>
  <si>
    <t>ID de SISBA</t>
  </si>
  <si>
    <t>Nota: Los montos de inversión en el presente Anexo Técnico, se anotarán en pesos, a dos decimales.</t>
  </si>
  <si>
    <t>Los montos de inversión en el presente informe final, se anotarán en pesos, a dos decimales.</t>
  </si>
  <si>
    <t>Programa
transversal **</t>
  </si>
  <si>
    <t>*Estrategia
impactada
DH, CI o PP</t>
  </si>
  <si>
    <t>** Programas transversales a atender:</t>
  </si>
  <si>
    <t>DH= Derechos Humanos</t>
  </si>
  <si>
    <t>P1</t>
  </si>
  <si>
    <t>Desarrollo integral para pueblos y comunidades indígenas.</t>
  </si>
  <si>
    <t>CI= Compromiso Internacional</t>
  </si>
  <si>
    <t>P2</t>
  </si>
  <si>
    <t>Programa Especial Concurrente para el desarrollo rural sustentable (PEC)</t>
  </si>
  <si>
    <t>PP= Proyecto prioritario</t>
  </si>
  <si>
    <t>P3</t>
  </si>
  <si>
    <t>Adaptación y mitigación de los efectos de cambio climático</t>
  </si>
  <si>
    <t>P4</t>
  </si>
  <si>
    <t>Programa para superar la pobreza</t>
  </si>
  <si>
    <t>Programa de Agua Potable, Drenaje y Tratamiento (PROAGUA) 202__</t>
  </si>
  <si>
    <t>Ejercicio 202__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</si>
</sst>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74">
    <font>
      <sz val="9"/>
      <color theme="1"/>
      <name val="Montserrat Medium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ontserrat Medium"/>
      <family val="2"/>
    </font>
    <font>
      <b/>
      <sz val="14"/>
      <color theme="1"/>
      <name val="Montserrat"/>
    </font>
    <font>
      <b/>
      <sz val="10"/>
      <color theme="1"/>
      <name val="Montserrat"/>
    </font>
    <font>
      <b/>
      <sz val="10"/>
      <name val="Montserrat"/>
    </font>
    <font>
      <sz val="10"/>
      <color theme="1"/>
      <name val="Montserrat"/>
    </font>
    <font>
      <b/>
      <sz val="11"/>
      <color theme="1"/>
      <name val="Montserrat"/>
    </font>
    <font>
      <b/>
      <sz val="10"/>
      <color rgb="FFFF0000"/>
      <name val="Montserrat"/>
    </font>
    <font>
      <sz val="11"/>
      <name val="Montserrat"/>
    </font>
    <font>
      <b/>
      <sz val="11"/>
      <name val="Montserrat"/>
    </font>
    <font>
      <sz val="11"/>
      <color theme="1"/>
      <name val="Montserrat"/>
    </font>
    <font>
      <sz val="11"/>
      <color rgb="FFFF0000"/>
      <name val="Montserrat"/>
    </font>
    <font>
      <b/>
      <sz val="16"/>
      <color theme="1"/>
      <name val="Montserrat"/>
    </font>
    <font>
      <b/>
      <sz val="18"/>
      <color theme="1"/>
      <name val="Montserrat"/>
    </font>
    <font>
      <sz val="11"/>
      <name val="Arial"/>
      <family val="2"/>
    </font>
    <font>
      <b/>
      <sz val="18"/>
      <name val="Montserrat"/>
    </font>
    <font>
      <b/>
      <sz val="16"/>
      <name val="Montserrat"/>
    </font>
    <font>
      <b/>
      <sz val="14"/>
      <name val="Montserrat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i/>
      <sz val="10"/>
      <name val="Arial"/>
      <family val="2"/>
    </font>
    <font>
      <sz val="11"/>
      <color theme="1"/>
      <name val="Soberana Sans"/>
      <family val="3"/>
    </font>
    <font>
      <sz val="11"/>
      <name val="Calibri"/>
      <family val="2"/>
    </font>
    <font>
      <sz val="14"/>
      <color theme="1"/>
      <name val="Montserrat"/>
    </font>
    <font>
      <sz val="14"/>
      <name val="Montserrat"/>
    </font>
    <font>
      <b/>
      <strike/>
      <sz val="10"/>
      <name val="Montserrat"/>
    </font>
    <font>
      <sz val="12"/>
      <color indexed="8"/>
      <name val="Montserrat"/>
    </font>
    <font>
      <b/>
      <i/>
      <sz val="9"/>
      <color rgb="FFFF0000"/>
      <name val="Montserrat"/>
    </font>
    <font>
      <b/>
      <sz val="11"/>
      <color theme="1"/>
      <name val="Arial"/>
      <family val="2"/>
    </font>
    <font>
      <i/>
      <sz val="12"/>
      <color theme="1"/>
      <name val="Calibri"/>
      <family val="2"/>
      <scheme val="minor"/>
    </font>
    <font>
      <b/>
      <i/>
      <sz val="10"/>
      <color rgb="FFFF0000"/>
      <name val="Montserrat"/>
    </font>
    <font>
      <b/>
      <i/>
      <sz val="11"/>
      <color rgb="FFFF0000"/>
      <name val="Montserrat"/>
    </font>
    <font>
      <b/>
      <sz val="8"/>
      <name val="Montserrat"/>
    </font>
    <font>
      <b/>
      <sz val="11"/>
      <color rgb="FFFF0000"/>
      <name val="Montserrat"/>
    </font>
    <font>
      <b/>
      <sz val="18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rgb="FF000000"/>
      <name val="Arial"/>
      <family val="2"/>
    </font>
    <font>
      <sz val="14"/>
      <color theme="1"/>
      <name val="Arial"/>
      <family val="2"/>
    </font>
    <font>
      <sz val="16"/>
      <color rgb="FF000000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sz val="24"/>
      <name val="Arial"/>
      <family val="2"/>
    </font>
    <font>
      <b/>
      <sz val="11"/>
      <color rgb="FF000000"/>
      <name val="Montserrat"/>
    </font>
    <font>
      <sz val="11"/>
      <color rgb="FF000000"/>
      <name val="Arial"/>
      <family val="2"/>
    </font>
    <font>
      <b/>
      <sz val="16"/>
      <color indexed="8"/>
      <name val="Arial"/>
      <family val="2"/>
    </font>
    <font>
      <b/>
      <sz val="14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rgb="FFFF0000"/>
      <name val="Arial"/>
      <family val="2"/>
    </font>
    <font>
      <b/>
      <sz val="16"/>
      <color rgb="FFFF0000"/>
      <name val="Arial"/>
      <family val="2"/>
    </font>
    <font>
      <b/>
      <sz val="11"/>
      <name val="Arial"/>
      <family val="2"/>
    </font>
    <font>
      <sz val="8"/>
      <color theme="1"/>
      <name val="Montserrat"/>
    </font>
    <font>
      <b/>
      <sz val="8"/>
      <color theme="1"/>
      <name val="Montserrat"/>
    </font>
    <font>
      <b/>
      <sz val="10"/>
      <name val="Arial"/>
      <family val="2"/>
    </font>
    <font>
      <sz val="16"/>
      <color theme="1"/>
      <name val="Montserrat"/>
    </font>
    <font>
      <b/>
      <sz val="9"/>
      <color theme="1"/>
      <name val="Calibri"/>
      <family val="2"/>
      <scheme val="minor"/>
    </font>
    <font>
      <b/>
      <sz val="8"/>
      <color rgb="FFCC0099"/>
      <name val="Montserrat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20"/>
      <color theme="1"/>
      <name val="Arial"/>
      <family val="2"/>
    </font>
    <font>
      <sz val="12"/>
      <name val="Montserrat"/>
    </font>
    <font>
      <b/>
      <sz val="2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0" fontId="1" fillId="0" borderId="0"/>
  </cellStyleXfs>
  <cellXfs count="303">
    <xf numFmtId="0" fontId="0" fillId="0" borderId="0" xfId="0"/>
    <xf numFmtId="0" fontId="17" fillId="0" borderId="0" xfId="0" applyFont="1" applyFill="1"/>
    <xf numFmtId="0" fontId="11" fillId="0" borderId="13" xfId="0" applyFont="1" applyFill="1" applyBorder="1"/>
    <xf numFmtId="0" fontId="11" fillId="0" borderId="14" xfId="0" applyFont="1" applyFill="1" applyBorder="1"/>
    <xf numFmtId="0" fontId="11" fillId="0" borderId="15" xfId="0" applyFont="1" applyFill="1" applyBorder="1"/>
    <xf numFmtId="0" fontId="17" fillId="0" borderId="0" xfId="0" applyFont="1" applyFill="1" applyBorder="1"/>
    <xf numFmtId="0" fontId="11" fillId="0" borderId="16" xfId="0" applyFont="1" applyFill="1" applyBorder="1"/>
    <xf numFmtId="0" fontId="11" fillId="0" borderId="0" xfId="0" applyFont="1" applyFill="1" applyBorder="1"/>
    <xf numFmtId="0" fontId="18" fillId="0" borderId="0" xfId="0" applyFont="1" applyFill="1" applyBorder="1" applyAlignment="1">
      <alignment vertical="justify"/>
    </xf>
    <xf numFmtId="0" fontId="20" fillId="0" borderId="0" xfId="0" applyFont="1" applyFill="1" applyBorder="1" applyAlignment="1">
      <alignment vertical="justify"/>
    </xf>
    <xf numFmtId="0" fontId="16" fillId="0" borderId="0" xfId="0" applyFont="1" applyFill="1" applyBorder="1" applyAlignment="1">
      <alignment vertical="justify"/>
    </xf>
    <xf numFmtId="0" fontId="12" fillId="0" borderId="16" xfId="0" applyFont="1" applyFill="1" applyBorder="1" applyAlignment="1"/>
    <xf numFmtId="0" fontId="12" fillId="0" borderId="3" xfId="0" applyFont="1" applyFill="1" applyBorder="1" applyAlignment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justify" vertical="center"/>
    </xf>
    <xf numFmtId="0" fontId="21" fillId="0" borderId="0" xfId="0" applyFont="1" applyFill="1"/>
    <xf numFmtId="0" fontId="22" fillId="0" borderId="18" xfId="0" applyFont="1" applyFill="1" applyBorder="1"/>
    <xf numFmtId="0" fontId="22" fillId="0" borderId="19" xfId="0" applyFont="1" applyFill="1" applyBorder="1"/>
    <xf numFmtId="0" fontId="21" fillId="0" borderId="0" xfId="0" applyFont="1" applyFill="1" applyBorder="1" applyAlignment="1">
      <alignment horizontal="justify" vertical="center"/>
    </xf>
    <xf numFmtId="0" fontId="19" fillId="0" borderId="0" xfId="0" applyFont="1" applyFill="1" applyBorder="1" applyAlignment="1" applyProtection="1">
      <alignment vertical="justify"/>
      <protection locked="0"/>
    </xf>
    <xf numFmtId="0" fontId="21" fillId="0" borderId="0" xfId="0" quotePrefix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right" vertical="top" wrapText="1"/>
    </xf>
    <xf numFmtId="3" fontId="21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/>
    <xf numFmtId="0" fontId="24" fillId="0" borderId="0" xfId="0" applyFont="1" applyFill="1"/>
    <xf numFmtId="0" fontId="22" fillId="0" borderId="0" xfId="0" quotePrefix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 vertical="center"/>
    </xf>
    <xf numFmtId="3" fontId="22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/>
    <xf numFmtId="0" fontId="24" fillId="0" borderId="0" xfId="0" applyFont="1" applyFill="1" applyBorder="1"/>
    <xf numFmtId="0" fontId="27" fillId="0" borderId="12" xfId="0" applyFont="1" applyFill="1" applyBorder="1" applyAlignment="1">
      <alignment horizontal="left" vertical="center"/>
    </xf>
    <xf numFmtId="0" fontId="27" fillId="0" borderId="21" xfId="0" applyFont="1" applyFill="1" applyBorder="1" applyAlignment="1">
      <alignment horizontal="left" vertical="center"/>
    </xf>
    <xf numFmtId="3" fontId="12" fillId="0" borderId="22" xfId="0" applyNumberFormat="1" applyFont="1" applyFill="1" applyBorder="1" applyAlignment="1" applyProtection="1">
      <alignment horizontal="right" vertical="center" wrapText="1"/>
      <protection locked="0"/>
    </xf>
    <xf numFmtId="0" fontId="28" fillId="0" borderId="0" xfId="0" applyFont="1" applyFill="1" applyBorder="1" applyAlignment="1">
      <alignment horizontal="left" vertical="center"/>
    </xf>
    <xf numFmtId="4" fontId="7" fillId="0" borderId="0" xfId="0" applyNumberFormat="1" applyFont="1" applyFill="1" applyBorder="1" applyAlignment="1">
      <alignment horizontal="right" vertical="center" wrapText="1"/>
    </xf>
    <xf numFmtId="0" fontId="29" fillId="0" borderId="0" xfId="0" applyFont="1" applyFill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/>
      <protection locked="0"/>
    </xf>
    <xf numFmtId="0" fontId="13" fillId="0" borderId="0" xfId="0" quotePrefix="1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21" fillId="0" borderId="0" xfId="0" applyFont="1" applyFill="1" applyProtection="1">
      <protection locked="0"/>
    </xf>
    <xf numFmtId="0" fontId="27" fillId="0" borderId="0" xfId="0" applyFont="1" applyProtection="1">
      <protection locked="0"/>
    </xf>
    <xf numFmtId="0" fontId="30" fillId="0" borderId="0" xfId="0" applyFont="1" applyAlignment="1">
      <alignment vertical="center"/>
    </xf>
    <xf numFmtId="0" fontId="31" fillId="0" borderId="0" xfId="0" applyFont="1" applyFill="1" applyAlignment="1" applyProtection="1">
      <alignment horizontal="left" vertical="center"/>
      <protection locked="0"/>
    </xf>
    <xf numFmtId="0" fontId="32" fillId="0" borderId="0" xfId="0" applyFont="1"/>
    <xf numFmtId="3" fontId="33" fillId="0" borderId="0" xfId="0" applyNumberFormat="1" applyFont="1" applyAlignment="1">
      <alignment vertical="center"/>
    </xf>
    <xf numFmtId="3" fontId="35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4" fillId="0" borderId="0" xfId="0" applyFont="1" applyBorder="1"/>
    <xf numFmtId="0" fontId="40" fillId="0" borderId="3" xfId="0" applyFont="1" applyBorder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justify" vertical="top" wrapText="1"/>
    </xf>
    <xf numFmtId="3" fontId="44" fillId="2" borderId="2" xfId="0" applyNumberFormat="1" applyFont="1" applyFill="1" applyBorder="1" applyAlignment="1">
      <alignment horizontal="right" vertical="center"/>
    </xf>
    <xf numFmtId="9" fontId="45" fillId="0" borderId="0" xfId="1" applyFont="1" applyAlignment="1">
      <alignment horizontal="center" vertical="center"/>
    </xf>
    <xf numFmtId="0" fontId="45" fillId="0" borderId="0" xfId="0" applyFont="1"/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5" fillId="0" borderId="0" xfId="0" applyFont="1" applyFill="1" applyProtection="1">
      <protection locked="0"/>
    </xf>
    <xf numFmtId="0" fontId="49" fillId="0" borderId="0" xfId="0" applyFont="1" applyFill="1" applyProtection="1">
      <protection locked="0"/>
    </xf>
    <xf numFmtId="0" fontId="42" fillId="0" borderId="0" xfId="0" applyFont="1" applyFill="1" applyBorder="1" applyAlignment="1">
      <alignment horizontal="left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wrapText="1"/>
    </xf>
    <xf numFmtId="0" fontId="45" fillId="0" borderId="0" xfId="0" applyFont="1" applyFill="1" applyBorder="1"/>
    <xf numFmtId="0" fontId="43" fillId="0" borderId="0" xfId="0" applyFont="1" applyFill="1" applyBorder="1"/>
    <xf numFmtId="0" fontId="43" fillId="0" borderId="0" xfId="0" applyFont="1" applyFill="1"/>
    <xf numFmtId="0" fontId="42" fillId="0" borderId="0" xfId="0" applyFont="1" applyFill="1" applyBorder="1" applyAlignment="1">
      <alignment vertical="justify"/>
    </xf>
    <xf numFmtId="0" fontId="44" fillId="0" borderId="0" xfId="0" applyFont="1" applyFill="1" applyBorder="1" applyAlignment="1">
      <alignment vertical="justify"/>
    </xf>
    <xf numFmtId="0" fontId="42" fillId="0" borderId="0" xfId="0" applyFont="1" applyFill="1" applyBorder="1" applyAlignment="1" applyProtection="1">
      <alignment vertical="center"/>
      <protection locked="0"/>
    </xf>
    <xf numFmtId="0" fontId="42" fillId="0" borderId="0" xfId="0" applyFont="1" applyFill="1" applyBorder="1" applyAlignment="1"/>
    <xf numFmtId="0" fontId="45" fillId="0" borderId="0" xfId="0" applyFont="1" applyFill="1" applyBorder="1" applyAlignment="1">
      <alignment horizontal="justify" vertical="center"/>
    </xf>
    <xf numFmtId="0" fontId="45" fillId="0" borderId="0" xfId="0" applyFont="1" applyFill="1"/>
    <xf numFmtId="0" fontId="44" fillId="0" borderId="0" xfId="0" applyFont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42" fillId="0" borderId="0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justify" vertical="center" wrapText="1"/>
    </xf>
    <xf numFmtId="3" fontId="43" fillId="0" borderId="2" xfId="0" applyNumberFormat="1" applyFont="1" applyBorder="1" applyAlignment="1">
      <alignment horizontal="center" vertical="center" wrapText="1"/>
    </xf>
    <xf numFmtId="3" fontId="43" fillId="0" borderId="25" xfId="0" applyNumberFormat="1" applyFont="1" applyFill="1" applyBorder="1" applyAlignment="1">
      <alignment horizontal="center" vertical="center" wrapText="1"/>
    </xf>
    <xf numFmtId="10" fontId="43" fillId="0" borderId="2" xfId="1" applyNumberFormat="1" applyFont="1" applyFill="1" applyBorder="1" applyAlignment="1">
      <alignment horizontal="center" vertical="center"/>
    </xf>
    <xf numFmtId="3" fontId="43" fillId="0" borderId="24" xfId="0" applyNumberFormat="1" applyFont="1" applyBorder="1" applyAlignment="1">
      <alignment horizontal="center" vertical="center" wrapText="1"/>
    </xf>
    <xf numFmtId="0" fontId="45" fillId="0" borderId="0" xfId="0" applyFont="1" applyBorder="1"/>
    <xf numFmtId="0" fontId="43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justify" vertical="center" wrapText="1"/>
    </xf>
    <xf numFmtId="10" fontId="43" fillId="0" borderId="0" xfId="1" applyNumberFormat="1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top" wrapText="1"/>
    </xf>
    <xf numFmtId="0" fontId="45" fillId="0" borderId="1" xfId="0" applyFont="1" applyBorder="1"/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justify" vertical="center" wrapText="1"/>
    </xf>
    <xf numFmtId="10" fontId="43" fillId="0" borderId="1" xfId="1" applyNumberFormat="1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3" fillId="3" borderId="2" xfId="0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vertical="center" wrapText="1"/>
    </xf>
    <xf numFmtId="3" fontId="43" fillId="0" borderId="2" xfId="0" applyNumberFormat="1" applyFont="1" applyBorder="1" applyAlignment="1">
      <alignment vertical="center" wrapText="1"/>
    </xf>
    <xf numFmtId="0" fontId="45" fillId="0" borderId="0" xfId="0" applyFont="1" applyFill="1" applyAlignment="1">
      <alignment horizontal="center" vertical="center"/>
    </xf>
    <xf numFmtId="0" fontId="45" fillId="0" borderId="0" xfId="0" applyFont="1" applyFill="1" applyAlignment="1">
      <alignment vertical="center" wrapText="1"/>
    </xf>
    <xf numFmtId="0" fontId="45" fillId="0" borderId="0" xfId="0" applyFont="1" applyFill="1" applyAlignment="1">
      <alignment horizontal="justify" vertical="top" wrapText="1"/>
    </xf>
    <xf numFmtId="3" fontId="44" fillId="0" borderId="0" xfId="0" applyNumberFormat="1" applyFont="1" applyFill="1" applyBorder="1" applyAlignment="1">
      <alignment horizontal="right" vertical="center"/>
    </xf>
    <xf numFmtId="4" fontId="44" fillId="0" borderId="0" xfId="0" applyNumberFormat="1" applyFont="1" applyFill="1" applyBorder="1" applyAlignment="1">
      <alignment horizontal="right" vertical="center"/>
    </xf>
    <xf numFmtId="9" fontId="45" fillId="0" borderId="0" xfId="1" applyFont="1" applyFill="1" applyAlignment="1">
      <alignment horizontal="center" vertical="center"/>
    </xf>
    <xf numFmtId="0" fontId="45" fillId="0" borderId="0" xfId="0" applyFont="1" applyFill="1" applyBorder="1" applyProtection="1">
      <protection locked="0"/>
    </xf>
    <xf numFmtId="0" fontId="44" fillId="0" borderId="0" xfId="0" applyFont="1" applyFill="1" applyAlignment="1" applyProtection="1">
      <alignment horizontal="center"/>
      <protection locked="0"/>
    </xf>
    <xf numFmtId="0" fontId="40" fillId="0" borderId="3" xfId="0" applyFont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49" fillId="0" borderId="0" xfId="0" applyFont="1"/>
    <xf numFmtId="0" fontId="46" fillId="0" borderId="0" xfId="0" applyFont="1" applyFill="1" applyAlignment="1" applyProtection="1">
      <alignment vertical="center"/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Fill="1" applyBorder="1" applyProtection="1">
      <protection locked="0"/>
    </xf>
    <xf numFmtId="0" fontId="40" fillId="0" borderId="0" xfId="0" applyFont="1" applyFill="1" applyAlignment="1" applyProtection="1">
      <alignment horizontal="center"/>
      <protection locked="0"/>
    </xf>
    <xf numFmtId="0" fontId="38" fillId="0" borderId="0" xfId="0" applyFont="1" applyFill="1" applyAlignment="1" applyProtection="1">
      <alignment horizontal="left"/>
      <protection locked="0"/>
    </xf>
    <xf numFmtId="0" fontId="50" fillId="0" borderId="0" xfId="0" applyFont="1" applyAlignment="1">
      <alignment vertical="center"/>
    </xf>
    <xf numFmtId="0" fontId="50" fillId="0" borderId="3" xfId="0" applyFont="1" applyBorder="1" applyAlignment="1">
      <alignment vertical="center"/>
    </xf>
    <xf numFmtId="3" fontId="37" fillId="0" borderId="0" xfId="0" applyNumberFormat="1" applyFont="1" applyBorder="1" applyAlignment="1">
      <alignment horizontal="right" vertical="center"/>
    </xf>
    <xf numFmtId="3" fontId="37" fillId="0" borderId="1" xfId="0" applyNumberFormat="1" applyFont="1" applyBorder="1" applyAlignment="1">
      <alignment horizontal="right" vertical="center"/>
    </xf>
    <xf numFmtId="0" fontId="37" fillId="0" borderId="2" xfId="0" applyFont="1" applyBorder="1" applyAlignment="1">
      <alignment vertical="center" wrapText="1"/>
    </xf>
    <xf numFmtId="0" fontId="37" fillId="3" borderId="2" xfId="0" applyFont="1" applyFill="1" applyBorder="1" applyAlignment="1">
      <alignment vertical="center" wrapText="1"/>
    </xf>
    <xf numFmtId="0" fontId="51" fillId="0" borderId="0" xfId="0" applyFont="1" applyFill="1" applyBorder="1" applyAlignment="1" applyProtection="1">
      <alignment vertical="center"/>
      <protection locked="0"/>
    </xf>
    <xf numFmtId="0" fontId="53" fillId="0" borderId="0" xfId="0" applyFont="1" applyFill="1"/>
    <xf numFmtId="0" fontId="51" fillId="0" borderId="0" xfId="0" applyFont="1" applyFill="1" applyBorder="1" applyAlignment="1">
      <alignment vertical="justify"/>
    </xf>
    <xf numFmtId="0" fontId="39" fillId="0" borderId="0" xfId="0" applyFont="1" applyAlignment="1">
      <alignment horizontal="right"/>
    </xf>
    <xf numFmtId="0" fontId="37" fillId="0" borderId="0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center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3" fontId="36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/>
    <xf numFmtId="0" fontId="22" fillId="0" borderId="0" xfId="0" applyFont="1" applyAlignment="1">
      <alignment vertical="center"/>
    </xf>
    <xf numFmtId="0" fontId="55" fillId="0" borderId="3" xfId="0" applyFont="1" applyBorder="1" applyAlignment="1">
      <alignment vertical="center"/>
    </xf>
    <xf numFmtId="0" fontId="9" fillId="0" borderId="3" xfId="0" applyFont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center"/>
      <protection locked="0"/>
    </xf>
    <xf numFmtId="0" fontId="14" fillId="0" borderId="3" xfId="0" applyFont="1" applyBorder="1" applyProtection="1">
      <protection locked="0"/>
    </xf>
    <xf numFmtId="0" fontId="13" fillId="0" borderId="3" xfId="0" applyFont="1" applyBorder="1" applyProtection="1"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22" fillId="0" borderId="20" xfId="0" applyFont="1" applyFill="1" applyBorder="1"/>
    <xf numFmtId="4" fontId="12" fillId="0" borderId="28" xfId="0" applyNumberFormat="1" applyFont="1" applyFill="1" applyBorder="1" applyAlignment="1" applyProtection="1">
      <alignment horizontal="right" vertical="center" wrapText="1"/>
      <protection locked="0"/>
    </xf>
    <xf numFmtId="4" fontId="12" fillId="0" borderId="0" xfId="0" applyNumberFormat="1" applyFont="1" applyFill="1" applyBorder="1" applyAlignment="1" applyProtection="1">
      <alignment horizontal="right" vertical="center" wrapText="1"/>
      <protection locked="0"/>
    </xf>
    <xf numFmtId="4" fontId="12" fillId="0" borderId="25" xfId="0" applyNumberFormat="1" applyFont="1" applyFill="1" applyBorder="1" applyAlignment="1" applyProtection="1">
      <alignment horizontal="right" vertical="center" wrapText="1"/>
      <protection locked="0"/>
    </xf>
    <xf numFmtId="4" fontId="20" fillId="0" borderId="0" xfId="0" applyNumberFormat="1" applyFont="1" applyFill="1" applyBorder="1" applyAlignment="1">
      <alignment horizontal="right" vertical="center"/>
    </xf>
    <xf numFmtId="4" fontId="20" fillId="0" borderId="0" xfId="0" applyNumberFormat="1" applyFont="1" applyFill="1" applyBorder="1" applyAlignment="1">
      <alignment horizontal="right" vertical="center" wrapText="1"/>
    </xf>
    <xf numFmtId="3" fontId="12" fillId="0" borderId="12" xfId="0" applyNumberFormat="1" applyFont="1" applyFill="1" applyBorder="1" applyAlignment="1" applyProtection="1">
      <alignment horizontal="right" vertical="center" wrapText="1"/>
      <protection locked="0"/>
    </xf>
    <xf numFmtId="3" fontId="7" fillId="0" borderId="0" xfId="0" applyNumberFormat="1" applyFont="1" applyFill="1" applyBorder="1" applyAlignment="1">
      <alignment horizontal="right" vertical="center" wrapText="1"/>
    </xf>
    <xf numFmtId="3" fontId="20" fillId="0" borderId="23" xfId="0" applyNumberFormat="1" applyFont="1" applyFill="1" applyBorder="1" applyAlignment="1" applyProtection="1">
      <alignment horizontal="right" vertical="center" wrapText="1"/>
      <protection locked="0"/>
    </xf>
    <xf numFmtId="0" fontId="6" fillId="0" borderId="23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3" fontId="12" fillId="0" borderId="2" xfId="0" applyNumberFormat="1" applyFont="1" applyFill="1" applyBorder="1" applyAlignment="1" applyProtection="1">
      <alignment horizontal="right" vertical="center" wrapText="1"/>
      <protection locked="0"/>
    </xf>
    <xf numFmtId="0" fontId="41" fillId="2" borderId="10" xfId="0" applyFont="1" applyFill="1" applyBorder="1" applyAlignment="1">
      <alignment horizontal="center"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1" fillId="2" borderId="9" xfId="0" applyFont="1" applyFill="1" applyBorder="1" applyAlignment="1">
      <alignment horizontal="center" vertical="center" wrapText="1"/>
    </xf>
    <xf numFmtId="3" fontId="12" fillId="2" borderId="12" xfId="0" applyNumberFormat="1" applyFont="1" applyFill="1" applyBorder="1" applyAlignment="1" applyProtection="1">
      <alignment horizontal="right" vertical="center" wrapText="1"/>
      <protection locked="0"/>
    </xf>
    <xf numFmtId="3" fontId="12" fillId="2" borderId="2" xfId="0" applyNumberFormat="1" applyFont="1" applyFill="1" applyBorder="1" applyAlignment="1" applyProtection="1">
      <alignment horizontal="right" vertical="center" wrapText="1"/>
      <protection locked="0"/>
    </xf>
    <xf numFmtId="0" fontId="56" fillId="0" borderId="0" xfId="0" applyFont="1" applyFill="1" applyAlignment="1" applyProtection="1">
      <alignment horizontal="center" vertical="center"/>
      <protection locked="0"/>
    </xf>
    <xf numFmtId="0" fontId="47" fillId="0" borderId="0" xfId="0" applyFont="1" applyAlignment="1" applyProtection="1">
      <alignment vertical="center"/>
      <protection locked="0"/>
    </xf>
    <xf numFmtId="0" fontId="46" fillId="0" borderId="0" xfId="0" quotePrefix="1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>
      <alignment vertical="center"/>
    </xf>
    <xf numFmtId="0" fontId="46" fillId="0" borderId="0" xfId="0" applyFont="1"/>
    <xf numFmtId="0" fontId="44" fillId="0" borderId="0" xfId="0" applyFont="1" applyBorder="1" applyAlignment="1" applyProtection="1">
      <alignment vertical="center"/>
      <protection locked="0"/>
    </xf>
    <xf numFmtId="0" fontId="44" fillId="0" borderId="0" xfId="0" applyFont="1" applyBorder="1" applyAlignment="1" applyProtection="1">
      <alignment horizontal="left" vertical="center"/>
      <protection locked="0"/>
    </xf>
    <xf numFmtId="0" fontId="57" fillId="0" borderId="0" xfId="0" applyFont="1" applyBorder="1" applyAlignment="1" applyProtection="1">
      <alignment vertical="center"/>
      <protection locked="0"/>
    </xf>
    <xf numFmtId="0" fontId="47" fillId="0" borderId="0" xfId="0" applyFont="1" applyFill="1" applyAlignment="1" applyProtection="1">
      <alignment vertical="center"/>
      <protection locked="0"/>
    </xf>
    <xf numFmtId="0" fontId="40" fillId="0" borderId="0" xfId="0" applyFont="1" applyProtection="1">
      <protection locked="0"/>
    </xf>
    <xf numFmtId="0" fontId="44" fillId="0" borderId="0" xfId="0" applyFont="1" applyProtection="1">
      <protection locked="0"/>
    </xf>
    <xf numFmtId="0" fontId="58" fillId="0" borderId="0" xfId="0" applyFont="1" applyAlignment="1" applyProtection="1">
      <alignment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/>
      <protection locked="0"/>
    </xf>
    <xf numFmtId="0" fontId="46" fillId="0" borderId="0" xfId="0" applyFont="1" applyProtection="1">
      <protection locked="0"/>
    </xf>
    <xf numFmtId="0" fontId="59" fillId="0" borderId="0" xfId="0" applyFont="1" applyProtection="1">
      <protection locked="0"/>
    </xf>
    <xf numFmtId="3" fontId="60" fillId="0" borderId="0" xfId="0" applyNumberFormat="1" applyFont="1" applyAlignment="1" applyProtection="1">
      <alignment horizontal="center" vertical="center"/>
      <protection locked="0"/>
    </xf>
    <xf numFmtId="0" fontId="40" fillId="0" borderId="3" xfId="0" applyFont="1" applyBorder="1" applyAlignment="1" applyProtection="1">
      <alignment horizontal="center"/>
      <protection locked="0"/>
    </xf>
    <xf numFmtId="0" fontId="60" fillId="0" borderId="3" xfId="0" applyFont="1" applyBorder="1" applyAlignment="1" applyProtection="1">
      <alignment horizontal="center"/>
      <protection locked="0"/>
    </xf>
    <xf numFmtId="0" fontId="59" fillId="0" borderId="3" xfId="0" applyFont="1" applyBorder="1" applyProtection="1">
      <protection locked="0"/>
    </xf>
    <xf numFmtId="0" fontId="46" fillId="0" borderId="3" xfId="0" applyFont="1" applyBorder="1" applyProtection="1">
      <protection locked="0"/>
    </xf>
    <xf numFmtId="0" fontId="46" fillId="0" borderId="3" xfId="0" applyFont="1" applyBorder="1" applyAlignment="1" applyProtection="1">
      <alignment vertical="center"/>
      <protection locked="0"/>
    </xf>
    <xf numFmtId="0" fontId="41" fillId="2" borderId="10" xfId="0" applyFont="1" applyFill="1" applyBorder="1" applyAlignment="1">
      <alignment horizontal="center" vertical="center" wrapText="1"/>
    </xf>
    <xf numFmtId="0" fontId="15" fillId="4" borderId="0" xfId="4" applyFont="1" applyFill="1" applyAlignment="1">
      <alignment horizontal="centerContinuous"/>
    </xf>
    <xf numFmtId="0" fontId="65" fillId="5" borderId="0" xfId="4" applyFont="1" applyFill="1"/>
    <xf numFmtId="0" fontId="2" fillId="0" borderId="0" xfId="4"/>
    <xf numFmtId="0" fontId="9" fillId="4" borderId="0" xfId="4" applyFont="1" applyFill="1" applyAlignment="1">
      <alignment horizontal="centerContinuous"/>
    </xf>
    <xf numFmtId="0" fontId="62" fillId="5" borderId="0" xfId="4" applyFont="1" applyFill="1"/>
    <xf numFmtId="0" fontId="2" fillId="0" borderId="0" xfId="4" quotePrefix="1"/>
    <xf numFmtId="0" fontId="62" fillId="0" borderId="0" xfId="4" applyFont="1"/>
    <xf numFmtId="0" fontId="66" fillId="0" borderId="0" xfId="4" quotePrefix="1" applyFont="1"/>
    <xf numFmtId="0" fontId="63" fillId="2" borderId="32" xfId="4" applyFont="1" applyFill="1" applyBorder="1"/>
    <xf numFmtId="0" fontId="63" fillId="2" borderId="33" xfId="4" applyFont="1" applyFill="1" applyBorder="1" applyAlignment="1">
      <alignment horizontal="center"/>
    </xf>
    <xf numFmtId="0" fontId="67" fillId="2" borderId="32" xfId="4" applyFont="1" applyFill="1" applyBorder="1" applyAlignment="1">
      <alignment horizontal="center"/>
    </xf>
    <xf numFmtId="0" fontId="63" fillId="3" borderId="0" xfId="4" applyFont="1" applyFill="1" applyAlignment="1">
      <alignment horizontal="center"/>
    </xf>
    <xf numFmtId="0" fontId="62" fillId="6" borderId="0" xfId="4" applyFont="1" applyFill="1"/>
    <xf numFmtId="0" fontId="67" fillId="6" borderId="0" xfId="4" applyFont="1" applyFill="1"/>
    <xf numFmtId="0" fontId="2" fillId="6" borderId="0" xfId="4" applyFill="1"/>
    <xf numFmtId="0" fontId="68" fillId="6" borderId="0" xfId="4" applyFont="1" applyFill="1"/>
    <xf numFmtId="0" fontId="68" fillId="3" borderId="0" xfId="4" applyFont="1" applyFill="1"/>
    <xf numFmtId="0" fontId="68" fillId="0" borderId="0" xfId="4" applyFont="1"/>
    <xf numFmtId="0" fontId="2" fillId="5" borderId="0" xfId="4" applyFill="1"/>
    <xf numFmtId="0" fontId="2" fillId="3" borderId="0" xfId="4" applyFill="1"/>
    <xf numFmtId="3" fontId="42" fillId="0" borderId="23" xfId="0" applyNumberFormat="1" applyFont="1" applyBorder="1" applyAlignment="1">
      <alignment horizontal="center" vertical="center" wrapText="1"/>
    </xf>
    <xf numFmtId="3" fontId="43" fillId="7" borderId="2" xfId="0" applyNumberFormat="1" applyFont="1" applyFill="1" applyBorder="1" applyAlignment="1">
      <alignment horizontal="center" vertical="center" wrapText="1"/>
    </xf>
    <xf numFmtId="3" fontId="43" fillId="7" borderId="2" xfId="0" applyNumberFormat="1" applyFont="1" applyFill="1" applyBorder="1" applyAlignment="1">
      <alignment vertical="center" wrapText="1"/>
    </xf>
    <xf numFmtId="0" fontId="38" fillId="0" borderId="0" xfId="0" applyFont="1" applyFill="1" applyAlignment="1" applyProtection="1">
      <alignment vertical="center"/>
      <protection locked="0"/>
    </xf>
    <xf numFmtId="0" fontId="40" fillId="0" borderId="0" xfId="0" applyFont="1" applyFill="1" applyAlignment="1" applyProtection="1">
      <alignment vertical="center"/>
      <protection locked="0"/>
    </xf>
    <xf numFmtId="0" fontId="64" fillId="0" borderId="0" xfId="0" applyFont="1" applyFill="1" applyAlignment="1" applyProtection="1">
      <alignment vertical="center"/>
      <protection locked="0"/>
    </xf>
    <xf numFmtId="0" fontId="69" fillId="0" borderId="0" xfId="0" applyFont="1" applyFill="1" applyAlignment="1" applyProtection="1">
      <alignment vertical="center"/>
      <protection locked="0"/>
    </xf>
    <xf numFmtId="0" fontId="70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26" fillId="2" borderId="21" xfId="0" applyFont="1" applyFill="1" applyBorder="1" applyAlignment="1">
      <alignment horizontal="left" vertical="center"/>
    </xf>
    <xf numFmtId="3" fontId="42" fillId="0" borderId="0" xfId="0" applyNumberFormat="1" applyFont="1" applyFill="1" applyBorder="1" applyAlignment="1">
      <alignment horizontal="center" vertical="center" wrapText="1"/>
    </xf>
    <xf numFmtId="3" fontId="43" fillId="0" borderId="2" xfId="0" applyNumberFormat="1" applyFont="1" applyBorder="1" applyAlignment="1">
      <alignment vertical="center"/>
    </xf>
    <xf numFmtId="3" fontId="43" fillId="3" borderId="2" xfId="0" applyNumberFormat="1" applyFont="1" applyFill="1" applyBorder="1" applyAlignment="1">
      <alignment vertical="center"/>
    </xf>
    <xf numFmtId="3" fontId="43" fillId="0" borderId="2" xfId="1" applyNumberFormat="1" applyFont="1" applyFill="1" applyBorder="1" applyAlignment="1">
      <alignment horizontal="center" vertical="center"/>
    </xf>
    <xf numFmtId="3" fontId="43" fillId="0" borderId="0" xfId="1" applyNumberFormat="1" applyFont="1" applyFill="1" applyBorder="1" applyAlignment="1">
      <alignment horizontal="center" vertical="center"/>
    </xf>
    <xf numFmtId="3" fontId="43" fillId="0" borderId="1" xfId="1" applyNumberFormat="1" applyFont="1" applyFill="1" applyBorder="1" applyAlignment="1">
      <alignment horizontal="center" vertical="center"/>
    </xf>
    <xf numFmtId="3" fontId="45" fillId="0" borderId="0" xfId="1" applyNumberFormat="1" applyFont="1" applyAlignment="1">
      <alignment horizontal="center" vertical="center"/>
    </xf>
    <xf numFmtId="0" fontId="11" fillId="0" borderId="16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17" xfId="0" applyFont="1" applyFill="1" applyBorder="1" applyAlignment="1">
      <alignment vertical="center" wrapText="1"/>
    </xf>
    <xf numFmtId="0" fontId="61" fillId="0" borderId="0" xfId="0" applyFont="1" applyFill="1" applyBorder="1" applyAlignment="1"/>
    <xf numFmtId="0" fontId="61" fillId="0" borderId="3" xfId="0" applyFont="1" applyFill="1" applyBorder="1" applyAlignment="1">
      <alignment horizontal="center"/>
    </xf>
    <xf numFmtId="0" fontId="72" fillId="0" borderId="0" xfId="0" applyFont="1"/>
    <xf numFmtId="0" fontId="12" fillId="0" borderId="17" xfId="0" applyFont="1" applyFill="1" applyBorder="1" applyAlignment="1">
      <alignment vertical="center"/>
    </xf>
    <xf numFmtId="0" fontId="17" fillId="0" borderId="0" xfId="0" applyFont="1" applyFill="1" applyBorder="1" applyAlignment="1"/>
    <xf numFmtId="0" fontId="61" fillId="0" borderId="0" xfId="0" applyFont="1" applyFill="1" applyBorder="1" applyAlignment="1">
      <alignment horizontal="right"/>
    </xf>
    <xf numFmtId="0" fontId="17" fillId="0" borderId="3" xfId="0" applyFont="1" applyFill="1" applyBorder="1" applyAlignment="1"/>
    <xf numFmtId="0" fontId="43" fillId="0" borderId="3" xfId="0" applyFont="1" applyFill="1" applyBorder="1"/>
    <xf numFmtId="0" fontId="43" fillId="0" borderId="0" xfId="0" applyFont="1" applyFill="1" applyBorder="1" applyAlignment="1">
      <alignment vertical="center" wrapText="1"/>
    </xf>
    <xf numFmtId="0" fontId="58" fillId="0" borderId="0" xfId="0" applyFont="1" applyAlignment="1" applyProtection="1">
      <alignment horizontal="center"/>
      <protection locked="0"/>
    </xf>
    <xf numFmtId="0" fontId="40" fillId="0" borderId="0" xfId="0" applyFont="1" applyFill="1" applyAlignment="1" applyProtection="1">
      <alignment horizontal="left"/>
      <protection locked="0"/>
    </xf>
    <xf numFmtId="3" fontId="43" fillId="0" borderId="17" xfId="0" applyNumberFormat="1" applyFont="1" applyFill="1" applyBorder="1" applyAlignment="1">
      <alignment horizontal="center" vertical="center" wrapText="1"/>
    </xf>
    <xf numFmtId="3" fontId="43" fillId="0" borderId="39" xfId="0" applyNumberFormat="1" applyFont="1" applyFill="1" applyBorder="1" applyAlignment="1">
      <alignment horizontal="center" vertical="center" wrapText="1"/>
    </xf>
    <xf numFmtId="3" fontId="43" fillId="0" borderId="39" xfId="0" applyNumberFormat="1" applyFont="1" applyFill="1" applyBorder="1" applyAlignment="1">
      <alignment vertical="center" wrapText="1"/>
    </xf>
    <xf numFmtId="3" fontId="44" fillId="0" borderId="39" xfId="0" applyNumberFormat="1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Border="1" applyAlignment="1" applyProtection="1">
      <alignment horizontal="center"/>
      <protection locked="0"/>
    </xf>
    <xf numFmtId="0" fontId="36" fillId="0" borderId="1" xfId="0" applyFont="1" applyBorder="1" applyAlignment="1" applyProtection="1">
      <alignment horizontal="center"/>
      <protection locked="0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34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center" vertical="center"/>
      <protection locked="0"/>
    </xf>
    <xf numFmtId="0" fontId="54" fillId="0" borderId="0" xfId="0" applyFont="1" applyAlignment="1">
      <alignment horizontal="center" vertical="center"/>
    </xf>
    <xf numFmtId="0" fontId="6" fillId="0" borderId="12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27" fillId="0" borderId="12" xfId="0" applyFont="1" applyFill="1" applyBorder="1" applyAlignment="1">
      <alignment horizontal="left" vertical="center"/>
    </xf>
    <xf numFmtId="0" fontId="27" fillId="0" borderId="21" xfId="0" applyFont="1" applyFill="1" applyBorder="1" applyAlignment="1">
      <alignment horizontal="left" vertical="center"/>
    </xf>
    <xf numFmtId="0" fontId="27" fillId="0" borderId="12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justify"/>
    </xf>
    <xf numFmtId="0" fontId="19" fillId="0" borderId="17" xfId="0" applyFont="1" applyFill="1" applyBorder="1" applyAlignment="1">
      <alignment horizontal="center" vertical="justify"/>
    </xf>
    <xf numFmtId="0" fontId="71" fillId="0" borderId="0" xfId="0" applyFont="1" applyFill="1" applyBorder="1" applyAlignment="1">
      <alignment horizontal="center" vertical="center"/>
    </xf>
    <xf numFmtId="0" fontId="71" fillId="0" borderId="17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justify"/>
    </xf>
    <xf numFmtId="0" fontId="71" fillId="0" borderId="17" xfId="0" applyFont="1" applyFill="1" applyBorder="1" applyAlignment="1">
      <alignment horizontal="center" vertical="justify"/>
    </xf>
    <xf numFmtId="0" fontId="16" fillId="0" borderId="0" xfId="0" applyFont="1" applyFill="1" applyBorder="1" applyAlignment="1">
      <alignment horizontal="center" vertical="justify"/>
    </xf>
    <xf numFmtId="0" fontId="16" fillId="0" borderId="17" xfId="0" applyFont="1" applyFill="1" applyBorder="1" applyAlignment="1">
      <alignment horizontal="center" vertical="justify"/>
    </xf>
    <xf numFmtId="0" fontId="9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 applyProtection="1">
      <alignment horizontal="center" vertical="justify"/>
      <protection locked="0"/>
    </xf>
    <xf numFmtId="0" fontId="19" fillId="0" borderId="17" xfId="0" applyFont="1" applyFill="1" applyBorder="1" applyAlignment="1" applyProtection="1">
      <alignment horizontal="center" vertical="justify"/>
      <protection locked="0"/>
    </xf>
    <xf numFmtId="0" fontId="40" fillId="0" borderId="0" xfId="0" applyFont="1" applyAlignment="1">
      <alignment horizontal="center" vertical="center"/>
    </xf>
    <xf numFmtId="0" fontId="60" fillId="0" borderId="0" xfId="0" applyFont="1" applyBorder="1" applyAlignment="1" applyProtection="1">
      <alignment horizontal="center"/>
      <protection locked="0"/>
    </xf>
    <xf numFmtId="0" fontId="60" fillId="0" borderId="1" xfId="0" applyFont="1" applyBorder="1" applyAlignment="1" applyProtection="1">
      <alignment horizontal="center"/>
      <protection locked="0"/>
    </xf>
    <xf numFmtId="0" fontId="41" fillId="2" borderId="5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58" fillId="0" borderId="0" xfId="0" applyFont="1" applyAlignment="1" applyProtection="1">
      <alignment horizontal="center"/>
      <protection locked="0"/>
    </xf>
    <xf numFmtId="0" fontId="40" fillId="0" borderId="0" xfId="0" applyFont="1" applyAlignment="1" applyProtection="1">
      <alignment horizontal="center"/>
      <protection locked="0"/>
    </xf>
    <xf numFmtId="3" fontId="38" fillId="0" borderId="0" xfId="0" applyNumberFormat="1" applyFont="1" applyAlignment="1" applyProtection="1">
      <alignment horizontal="center" vertical="center"/>
      <protection locked="0"/>
    </xf>
    <xf numFmtId="0" fontId="41" fillId="2" borderId="10" xfId="0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0" fontId="51" fillId="0" borderId="0" xfId="0" applyFont="1" applyFill="1" applyBorder="1" applyAlignment="1">
      <alignment horizontal="center" vertical="justify"/>
    </xf>
    <xf numFmtId="0" fontId="73" fillId="0" borderId="0" xfId="0" applyFont="1" applyFill="1" applyBorder="1" applyAlignment="1">
      <alignment horizontal="center" vertical="justify"/>
    </xf>
    <xf numFmtId="0" fontId="52" fillId="0" borderId="0" xfId="0" applyFont="1" applyFill="1" applyBorder="1" applyAlignment="1">
      <alignment horizontal="center" vertical="justify"/>
    </xf>
    <xf numFmtId="0" fontId="41" fillId="2" borderId="4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41" fillId="2" borderId="9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 wrapText="1"/>
    </xf>
    <xf numFmtId="0" fontId="41" fillId="2" borderId="8" xfId="0" applyFont="1" applyFill="1" applyBorder="1" applyAlignment="1">
      <alignment horizontal="center"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14" xfId="0" applyFont="1" applyFill="1" applyBorder="1" applyAlignment="1">
      <alignment horizontal="center" vertical="center" wrapText="1"/>
    </xf>
    <xf numFmtId="0" fontId="41" fillId="2" borderId="15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0" fontId="41" fillId="2" borderId="36" xfId="0" applyFont="1" applyFill="1" applyBorder="1" applyAlignment="1">
      <alignment horizontal="center" vertical="center" wrapText="1"/>
    </xf>
    <xf numFmtId="0" fontId="41" fillId="2" borderId="37" xfId="0" applyFont="1" applyFill="1" applyBorder="1" applyAlignment="1">
      <alignment horizontal="center" vertical="center" wrapText="1"/>
    </xf>
    <xf numFmtId="0" fontId="41" fillId="2" borderId="26" xfId="0" applyFont="1" applyFill="1" applyBorder="1" applyAlignment="1">
      <alignment horizontal="center" vertical="center" wrapText="1"/>
    </xf>
    <xf numFmtId="0" fontId="41" fillId="2" borderId="38" xfId="0" applyFont="1" applyFill="1" applyBorder="1" applyAlignment="1">
      <alignment horizontal="center" vertical="center" wrapText="1"/>
    </xf>
  </cellXfs>
  <cellStyles count="6">
    <cellStyle name="Moneda 2" xfId="3"/>
    <cellStyle name="Normal" xfId="0" builtinId="0"/>
    <cellStyle name="Normal 2" xfId="2"/>
    <cellStyle name="Normal 2 2" xfId="5"/>
    <cellStyle name="Normal 3" xfId="4"/>
    <cellStyle name="Porcentaje" xfId="1" builtinId="5"/>
  </cellStyles>
  <dxfs count="0"/>
  <tableStyles count="0" defaultTableStyle="TableStyleMedium2" defaultPivotStyle="PivotStyleLight16"/>
  <colors>
    <mruColors>
      <color rgb="FF0000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178597</xdr:colOff>
      <xdr:row>2</xdr:row>
      <xdr:rowOff>0</xdr:rowOff>
    </xdr:from>
    <xdr:ext cx="1660072" cy="721178"/>
    <xdr:sp macro="" textlink="">
      <xdr:nvSpPr>
        <xdr:cNvPr id="4" name="1 CuadroTexto"/>
        <xdr:cNvSpPr txBox="1"/>
      </xdr:nvSpPr>
      <xdr:spPr>
        <a:xfrm>
          <a:off x="5286378" y="130969"/>
          <a:ext cx="1660072" cy="721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>
              <a:solidFill>
                <a:srgbClr val="FF0000"/>
              </a:solidFill>
            </a:rPr>
            <a:t>LOGO O ESCUDO ESTATAL</a:t>
          </a:r>
        </a:p>
      </xdr:txBody>
    </xdr:sp>
    <xdr:clientData/>
  </xdr:oneCellAnchor>
  <xdr:oneCellAnchor>
    <xdr:from>
      <xdr:col>4</xdr:col>
      <xdr:colOff>178597</xdr:colOff>
      <xdr:row>2</xdr:row>
      <xdr:rowOff>0</xdr:rowOff>
    </xdr:from>
    <xdr:ext cx="1660072" cy="721178"/>
    <xdr:sp macro="" textlink="">
      <xdr:nvSpPr>
        <xdr:cNvPr id="6" name="1 CuadroTexto"/>
        <xdr:cNvSpPr txBox="1"/>
      </xdr:nvSpPr>
      <xdr:spPr>
        <a:xfrm>
          <a:off x="5569747" y="285750"/>
          <a:ext cx="1660072" cy="721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>
              <a:solidFill>
                <a:srgbClr val="FF0000"/>
              </a:solidFill>
            </a:rPr>
            <a:t>LOGO O ESCUDO ESTATAL</a:t>
          </a:r>
        </a:p>
      </xdr:txBody>
    </xdr:sp>
    <xdr:clientData/>
  </xdr:oneCellAnchor>
  <xdr:twoCellAnchor editAs="oneCell">
    <xdr:from>
      <xdr:col>1</xdr:col>
      <xdr:colOff>503466</xdr:colOff>
      <xdr:row>2</xdr:row>
      <xdr:rowOff>95250</xdr:rowOff>
    </xdr:from>
    <xdr:to>
      <xdr:col>3</xdr:col>
      <xdr:colOff>231322</xdr:colOff>
      <xdr:row>4</xdr:row>
      <xdr:rowOff>163285</xdr:rowOff>
    </xdr:to>
    <xdr:pic>
      <xdr:nvPicPr>
        <xdr:cNvPr id="7" name="Imagen 6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609" y="381000"/>
          <a:ext cx="3864427" cy="666749"/>
        </a:xfrm>
        <a:prstGeom prst="rect">
          <a:avLst/>
        </a:prstGeom>
      </xdr:spPr>
    </xdr:pic>
    <xdr:clientData/>
  </xdr:twoCellAnchor>
  <xdr:twoCellAnchor>
    <xdr:from>
      <xdr:col>14</xdr:col>
      <xdr:colOff>404813</xdr:colOff>
      <xdr:row>1</xdr:row>
      <xdr:rowOff>47624</xdr:rowOff>
    </xdr:from>
    <xdr:to>
      <xdr:col>15</xdr:col>
      <xdr:colOff>976312</xdr:colOff>
      <xdr:row>4</xdr:row>
      <xdr:rowOff>83344</xdr:rowOff>
    </xdr:to>
    <xdr:sp macro="" textlink="">
      <xdr:nvSpPr>
        <xdr:cNvPr id="2" name="CuadroTexto 1"/>
        <xdr:cNvSpPr txBox="1"/>
      </xdr:nvSpPr>
      <xdr:spPr>
        <a:xfrm>
          <a:off x="14930438" y="261937"/>
          <a:ext cx="1559718" cy="72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latin typeface="Arial Black" panose="020B0A04020102020204" pitchFamily="34" charset="0"/>
              <a:cs typeface="Arial" panose="020B0604020202020204" pitchFamily="34" charset="0"/>
            </a:rPr>
            <a:t>Anexo</a:t>
          </a:r>
          <a:r>
            <a:rPr lang="es-MX" sz="1600" b="1" baseline="0">
              <a:latin typeface="Arial Black" panose="020B0A04020102020204" pitchFamily="34" charset="0"/>
              <a:cs typeface="Arial" panose="020B0604020202020204" pitchFamily="34" charset="0"/>
            </a:rPr>
            <a:t> XXIII</a:t>
          </a:r>
          <a:endParaRPr lang="es-MX" sz="1600" b="1"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1572987</xdr:colOff>
      <xdr:row>2</xdr:row>
      <xdr:rowOff>238124</xdr:rowOff>
    </xdr:from>
    <xdr:ext cx="2345869" cy="1190626"/>
    <xdr:sp macro="" textlink="">
      <xdr:nvSpPr>
        <xdr:cNvPr id="3" name="1 CuadroTexto"/>
        <xdr:cNvSpPr txBox="1"/>
      </xdr:nvSpPr>
      <xdr:spPr>
        <a:xfrm>
          <a:off x="7573737" y="428624"/>
          <a:ext cx="2345869" cy="1190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600">
              <a:solidFill>
                <a:srgbClr val="FF0000"/>
              </a:solidFill>
            </a:rPr>
            <a:t>Logo</a:t>
          </a:r>
          <a:r>
            <a:rPr lang="es-MX" sz="1600" baseline="0">
              <a:solidFill>
                <a:srgbClr val="FF0000"/>
              </a:solidFill>
            </a:rPr>
            <a:t> o escudo estatal</a:t>
          </a:r>
        </a:p>
        <a:p>
          <a:pPr algn="ctr"/>
          <a:endParaRPr lang="es-MX" sz="16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</xdr:col>
      <xdr:colOff>1257300</xdr:colOff>
      <xdr:row>2</xdr:row>
      <xdr:rowOff>381000</xdr:rowOff>
    </xdr:from>
    <xdr:to>
      <xdr:col>8</xdr:col>
      <xdr:colOff>342900</xdr:colOff>
      <xdr:row>5</xdr:row>
      <xdr:rowOff>76200</xdr:rowOff>
    </xdr:to>
    <xdr:pic>
      <xdr:nvPicPr>
        <xdr:cNvPr id="6" name="Imagen 5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571500"/>
          <a:ext cx="6667500" cy="952500"/>
        </a:xfrm>
        <a:prstGeom prst="rect">
          <a:avLst/>
        </a:prstGeom>
      </xdr:spPr>
    </xdr:pic>
    <xdr:clientData/>
  </xdr:twoCellAnchor>
  <xdr:twoCellAnchor>
    <xdr:from>
      <xdr:col>27</xdr:col>
      <xdr:colOff>533400</xdr:colOff>
      <xdr:row>2</xdr:row>
      <xdr:rowOff>95250</xdr:rowOff>
    </xdr:from>
    <xdr:to>
      <xdr:col>28</xdr:col>
      <xdr:colOff>873918</xdr:colOff>
      <xdr:row>3</xdr:row>
      <xdr:rowOff>402432</xdr:rowOff>
    </xdr:to>
    <xdr:sp macro="" textlink="">
      <xdr:nvSpPr>
        <xdr:cNvPr id="5" name="CuadroTexto 4"/>
        <xdr:cNvSpPr txBox="1"/>
      </xdr:nvSpPr>
      <xdr:spPr>
        <a:xfrm>
          <a:off x="36461700" y="285750"/>
          <a:ext cx="1559718" cy="72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latin typeface="Arial Black" panose="020B0A04020102020204" pitchFamily="34" charset="0"/>
              <a:cs typeface="Arial" panose="020B0604020202020204" pitchFamily="34" charset="0"/>
            </a:rPr>
            <a:t>Anexo</a:t>
          </a:r>
          <a:r>
            <a:rPr lang="es-MX" sz="1600" b="1" baseline="0">
              <a:latin typeface="Arial Black" panose="020B0A04020102020204" pitchFamily="34" charset="0"/>
              <a:cs typeface="Arial" panose="020B0604020202020204" pitchFamily="34" charset="0"/>
            </a:rPr>
            <a:t> XXIII</a:t>
          </a:r>
          <a:endParaRPr lang="es-MX" sz="1600" b="1"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1572987</xdr:colOff>
      <xdr:row>2</xdr:row>
      <xdr:rowOff>238124</xdr:rowOff>
    </xdr:from>
    <xdr:ext cx="2345869" cy="1190626"/>
    <xdr:sp macro="" textlink="">
      <xdr:nvSpPr>
        <xdr:cNvPr id="2" name="1 CuadroTexto"/>
        <xdr:cNvSpPr txBox="1"/>
      </xdr:nvSpPr>
      <xdr:spPr>
        <a:xfrm>
          <a:off x="8783412" y="419099"/>
          <a:ext cx="2345869" cy="1190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600">
              <a:solidFill>
                <a:srgbClr val="FF0000"/>
              </a:solidFill>
            </a:rPr>
            <a:t>Logo</a:t>
          </a:r>
          <a:r>
            <a:rPr lang="es-MX" sz="1600" baseline="0">
              <a:solidFill>
                <a:srgbClr val="FF0000"/>
              </a:solidFill>
            </a:rPr>
            <a:t> o escudo estatal</a:t>
          </a:r>
        </a:p>
        <a:p>
          <a:pPr algn="ctr"/>
          <a:endParaRPr lang="es-MX" sz="16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1572987</xdr:colOff>
      <xdr:row>2</xdr:row>
      <xdr:rowOff>238124</xdr:rowOff>
    </xdr:from>
    <xdr:ext cx="2345869" cy="1190626"/>
    <xdr:sp macro="" textlink="">
      <xdr:nvSpPr>
        <xdr:cNvPr id="4" name="1 CuadroTexto"/>
        <xdr:cNvSpPr txBox="1"/>
      </xdr:nvSpPr>
      <xdr:spPr>
        <a:xfrm>
          <a:off x="10278837" y="419099"/>
          <a:ext cx="2345869" cy="1190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600">
              <a:solidFill>
                <a:srgbClr val="FF0000"/>
              </a:solidFill>
            </a:rPr>
            <a:t>Logo</a:t>
          </a:r>
          <a:r>
            <a:rPr lang="es-MX" sz="1600" baseline="0">
              <a:solidFill>
                <a:srgbClr val="FF0000"/>
              </a:solidFill>
            </a:rPr>
            <a:t> o escudo estatal</a:t>
          </a:r>
        </a:p>
        <a:p>
          <a:pPr algn="ctr"/>
          <a:endParaRPr lang="es-MX" sz="16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</xdr:col>
      <xdr:colOff>723900</xdr:colOff>
      <xdr:row>3</xdr:row>
      <xdr:rowOff>114300</xdr:rowOff>
    </xdr:from>
    <xdr:to>
      <xdr:col>7</xdr:col>
      <xdr:colOff>1676400</xdr:colOff>
      <xdr:row>5</xdr:row>
      <xdr:rowOff>228600</xdr:rowOff>
    </xdr:to>
    <xdr:pic>
      <xdr:nvPicPr>
        <xdr:cNvPr id="7" name="Imagen 6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23900"/>
          <a:ext cx="6667500" cy="952500"/>
        </a:xfrm>
        <a:prstGeom prst="rect">
          <a:avLst/>
        </a:prstGeom>
      </xdr:spPr>
    </xdr:pic>
    <xdr:clientData/>
  </xdr:twoCellAnchor>
  <xdr:twoCellAnchor>
    <xdr:from>
      <xdr:col>27</xdr:col>
      <xdr:colOff>380999</xdr:colOff>
      <xdr:row>2</xdr:row>
      <xdr:rowOff>404812</xdr:rowOff>
    </xdr:from>
    <xdr:to>
      <xdr:col>28</xdr:col>
      <xdr:colOff>952499</xdr:colOff>
      <xdr:row>4</xdr:row>
      <xdr:rowOff>380999</xdr:rowOff>
    </xdr:to>
    <xdr:sp macro="" textlink="">
      <xdr:nvSpPr>
        <xdr:cNvPr id="5" name="CuadroTexto 4"/>
        <xdr:cNvSpPr txBox="1"/>
      </xdr:nvSpPr>
      <xdr:spPr>
        <a:xfrm>
          <a:off x="36171187" y="595312"/>
          <a:ext cx="1785937" cy="833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latin typeface="Arial Black" panose="020B0A04020102020204" pitchFamily="34" charset="0"/>
              <a:cs typeface="Arial" panose="020B0604020202020204" pitchFamily="34" charset="0"/>
            </a:rPr>
            <a:t>Anexo</a:t>
          </a:r>
          <a:r>
            <a:rPr lang="es-MX" sz="1600" b="1" baseline="0">
              <a:latin typeface="Arial Black" panose="020B0A04020102020204" pitchFamily="34" charset="0"/>
              <a:cs typeface="Arial" panose="020B0604020202020204" pitchFamily="34" charset="0"/>
            </a:rPr>
            <a:t> XXIII</a:t>
          </a:r>
          <a:endParaRPr lang="es-MX" sz="1600" b="1"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toledo/AppData/Local/Microsoft/Windows/INetCache/Content.Outlook/UKVNUX8P/Formato%20Cierre%20Acciones%20de%20AP%20Alc.%20y%20San%20PROAGUA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spaldo%20lap%20top\CONAGUA%202\ROP\2022\Anexo%20t&#233;cnico%202022\ModAnexosTec2022\Formato%20Anexo%20T&#233;cnico%20Acciones%20de%20AP,%20Alc.%20y%20San%20PROAGUA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p1\d\cmp\POA1998\CSR%20PROGRAMA%20OPERATIVO%20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006W175\Users\Users\Alejandro\Documents\Comisi&#243;n%20de%20Caminos\Cierre%20de%20Ejercicios%20_2007-2013_%20Ing.%20Felipe\POA%202016%20Alex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GENERAL 01"/>
      <sheetName val="RESUMEN RURAL 02"/>
      <sheetName val="ACCIONES AP LOC. RUR. 03"/>
      <sheetName val="ACCIONES ALC LOC. RUR. 04"/>
      <sheetName val="ACCIONES SAN LOC. RUR. 05"/>
      <sheetName val="RESUMEN URBANO 06"/>
      <sheetName val="ACCIONES AP LOC. URB. 07"/>
      <sheetName val="ACCIONES ALC LOC. URB. 08"/>
      <sheetName val="ACCIONES SAN LOC. URB. 09"/>
      <sheetName val="Lista"/>
      <sheetName val="Catalogos"/>
      <sheetName val="SUP. TÉC. 10"/>
      <sheetName val="INDICADORES DE EVALUACION 11"/>
      <sheetName val="OBRAS RELEVAN FC-PROAGUA-12"/>
      <sheetName val="Estrateg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T29" t="str">
            <v>Equipos de desazolve</v>
          </cell>
        </row>
        <row r="30">
          <cell r="AT30" t="str">
            <v>Mobiliario de oficina</v>
          </cell>
        </row>
        <row r="31">
          <cell r="AT31" t="str">
            <v>Equipo de transporte para zonas rurales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GENERAL 03"/>
      <sheetName val="RESUMEN RURAL 04"/>
      <sheetName val="ACCIONES AP LOC. RUR. 05"/>
      <sheetName val="ACCIONES ALC LOC. RUR. 06"/>
      <sheetName val="ACCIONES SAN LOC. RUR. 07"/>
      <sheetName val="RESUMEN URBANO 08"/>
      <sheetName val="ACCIONES AP LOC. URB. 09"/>
      <sheetName val="ACCIONES ALC LOC. URB. 10"/>
      <sheetName val="ACCIONES SAN LOC. URB. 11"/>
      <sheetName val="SUP. TÉC. 12"/>
      <sheetName val="Lista"/>
      <sheetName val="Catalogos"/>
      <sheetName val="ATENCIÓN SOCIAL 13"/>
      <sheetName val="INDICADORES DE EVALUACION 14"/>
      <sheetName val="CAL. LICITACIONES 15"/>
      <sheetName val="Estrateg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9">
          <cell r="AT29" t="str">
            <v>Equipos de desazolve</v>
          </cell>
        </row>
        <row r="30">
          <cell r="AT30" t="str">
            <v>Mobiliario de oficina</v>
          </cell>
        </row>
        <row r="31">
          <cell r="AT31" t="str">
            <v>Equipo de transporte para zonas rurales</v>
          </cell>
        </row>
      </sheetData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CATALOGO RURAL"/>
      <sheetName val="RESUMEN GENERAL"/>
      <sheetName val="AccEfici"/>
      <sheetName val="Estrategias"/>
      <sheetName val="AccMej"/>
      <sheetName val="AccNue"/>
    </sheetNames>
    <sheetDataSet>
      <sheetData sheetId="0">
        <row r="2">
          <cell r="A2" t="str">
            <v>ACUITZIO</v>
          </cell>
        </row>
        <row r="3">
          <cell r="A3" t="str">
            <v>AGUILILLA</v>
          </cell>
        </row>
        <row r="4">
          <cell r="A4" t="str">
            <v>ALVARO OBREGON</v>
          </cell>
        </row>
        <row r="5">
          <cell r="A5" t="str">
            <v>ANGAMACUTIRO</v>
          </cell>
        </row>
        <row r="6">
          <cell r="A6" t="str">
            <v>ANGANGUEO</v>
          </cell>
        </row>
        <row r="7">
          <cell r="A7" t="str">
            <v>APATZINGAN</v>
          </cell>
        </row>
        <row r="8">
          <cell r="A8" t="str">
            <v>APORO</v>
          </cell>
        </row>
        <row r="9">
          <cell r="A9" t="str">
            <v>AQUILA</v>
          </cell>
        </row>
        <row r="10">
          <cell r="A10" t="str">
            <v>ARIO</v>
          </cell>
        </row>
        <row r="11">
          <cell r="A11" t="str">
            <v>ARTEAGA</v>
          </cell>
        </row>
        <row r="12">
          <cell r="A12" t="str">
            <v>BRISEÑAS</v>
          </cell>
        </row>
        <row r="13">
          <cell r="A13" t="str">
            <v>BUENAVISTA</v>
          </cell>
        </row>
        <row r="14">
          <cell r="A14" t="str">
            <v>CARACUARO</v>
          </cell>
        </row>
        <row r="15">
          <cell r="A15" t="str">
            <v>COAHUAYANA</v>
          </cell>
        </row>
        <row r="16">
          <cell r="A16" t="str">
            <v>COALCOMAN</v>
          </cell>
        </row>
        <row r="17">
          <cell r="A17" t="str">
            <v>COENEO</v>
          </cell>
        </row>
        <row r="18">
          <cell r="A18" t="str">
            <v>COJUMATLAN</v>
          </cell>
        </row>
        <row r="19">
          <cell r="A19" t="str">
            <v>CONTEPEC</v>
          </cell>
        </row>
        <row r="20">
          <cell r="A20" t="str">
            <v>COPANDARO</v>
          </cell>
        </row>
        <row r="21">
          <cell r="A21" t="str">
            <v>COTIJA</v>
          </cell>
        </row>
        <row r="22">
          <cell r="A22" t="str">
            <v>CUITZEO</v>
          </cell>
        </row>
        <row r="23">
          <cell r="A23" t="str">
            <v>CHARAPAN</v>
          </cell>
        </row>
        <row r="24">
          <cell r="A24" t="str">
            <v>CHARO</v>
          </cell>
        </row>
        <row r="25">
          <cell r="A25" t="str">
            <v>CHAVINDA</v>
          </cell>
        </row>
        <row r="26">
          <cell r="A26" t="str">
            <v>CHERAN</v>
          </cell>
        </row>
        <row r="27">
          <cell r="A27" t="str">
            <v>CHILCHOTA</v>
          </cell>
        </row>
        <row r="28">
          <cell r="A28" t="str">
            <v>CHINICUILA</v>
          </cell>
        </row>
        <row r="29">
          <cell r="A29" t="str">
            <v>CHUCANDIRO</v>
          </cell>
        </row>
        <row r="30">
          <cell r="A30" t="str">
            <v>CHURINTZIO</v>
          </cell>
        </row>
        <row r="31">
          <cell r="A31" t="str">
            <v>CHURUMUCO</v>
          </cell>
        </row>
        <row r="32">
          <cell r="A32" t="str">
            <v>ECUANDUREO</v>
          </cell>
        </row>
        <row r="33">
          <cell r="A33" t="str">
            <v>EPITACIO HUERTA</v>
          </cell>
        </row>
        <row r="34">
          <cell r="A34" t="str">
            <v>ERONGARICUARO</v>
          </cell>
        </row>
        <row r="35">
          <cell r="A35" t="str">
            <v>GABRIEL ZAMORA</v>
          </cell>
        </row>
        <row r="36">
          <cell r="A36" t="str">
            <v>HIDALGO</v>
          </cell>
        </row>
        <row r="37">
          <cell r="A37" t="str">
            <v>HUACANA, LA</v>
          </cell>
        </row>
        <row r="38">
          <cell r="A38" t="str">
            <v>HUANDACAREO</v>
          </cell>
        </row>
        <row r="39">
          <cell r="A39" t="str">
            <v>HUANIQUEO</v>
          </cell>
        </row>
        <row r="40">
          <cell r="A40" t="str">
            <v>HUETAMO</v>
          </cell>
        </row>
        <row r="41">
          <cell r="A41" t="str">
            <v>HUIRAMBA</v>
          </cell>
        </row>
        <row r="42">
          <cell r="A42" t="str">
            <v>INDAPARAPEO</v>
          </cell>
        </row>
        <row r="43">
          <cell r="A43" t="str">
            <v>IRIMBO</v>
          </cell>
        </row>
        <row r="44">
          <cell r="A44" t="str">
            <v>IXTLAN</v>
          </cell>
        </row>
        <row r="45">
          <cell r="A45" t="str">
            <v>JACONA</v>
          </cell>
        </row>
        <row r="46">
          <cell r="A46" t="str">
            <v>JIMENEZ</v>
          </cell>
        </row>
        <row r="47">
          <cell r="A47" t="str">
            <v>JIQUILPAN</v>
          </cell>
        </row>
        <row r="48">
          <cell r="A48" t="str">
            <v>JOSE SIXTO VERDUZCO</v>
          </cell>
        </row>
        <row r="49">
          <cell r="A49" t="str">
            <v>JUAREZ</v>
          </cell>
        </row>
        <row r="50">
          <cell r="A50" t="str">
            <v>JUNGAPEO</v>
          </cell>
        </row>
        <row r="51">
          <cell r="A51" t="str">
            <v>LA PIEDAD</v>
          </cell>
        </row>
        <row r="52">
          <cell r="A52" t="str">
            <v>LAGUNILLAS</v>
          </cell>
        </row>
        <row r="53">
          <cell r="A53" t="str">
            <v>LAZARO CARDENAS</v>
          </cell>
        </row>
        <row r="54">
          <cell r="A54" t="str">
            <v>LOS REYES</v>
          </cell>
        </row>
        <row r="55">
          <cell r="A55" t="str">
            <v>MADERO</v>
          </cell>
        </row>
        <row r="56">
          <cell r="A56" t="str">
            <v>MARAVATIO</v>
          </cell>
        </row>
        <row r="57">
          <cell r="A57" t="str">
            <v>MARCOS CASTELLANOS</v>
          </cell>
        </row>
        <row r="58">
          <cell r="A58" t="str">
            <v>MORELOS</v>
          </cell>
        </row>
        <row r="59">
          <cell r="A59" t="str">
            <v>MUGICA</v>
          </cell>
        </row>
        <row r="60">
          <cell r="A60" t="str">
            <v>NAHUATZEN</v>
          </cell>
        </row>
        <row r="61">
          <cell r="A61" t="str">
            <v>NOCUPETARO</v>
          </cell>
        </row>
        <row r="62">
          <cell r="A62" t="str">
            <v>NUEVO PARANGARICUTIRO</v>
          </cell>
        </row>
        <row r="63">
          <cell r="A63" t="str">
            <v>NUEVO URECHO</v>
          </cell>
        </row>
        <row r="64">
          <cell r="A64" t="str">
            <v>NUMARAN</v>
          </cell>
        </row>
        <row r="65">
          <cell r="A65" t="str">
            <v>OCAMPO</v>
          </cell>
        </row>
        <row r="66">
          <cell r="A66" t="str">
            <v>PAJACUARAN</v>
          </cell>
        </row>
        <row r="67">
          <cell r="A67" t="str">
            <v>PANINDICUARO</v>
          </cell>
        </row>
        <row r="68">
          <cell r="A68" t="str">
            <v>PARACUARO</v>
          </cell>
        </row>
        <row r="69">
          <cell r="A69" t="str">
            <v>PARACHO</v>
          </cell>
        </row>
        <row r="70">
          <cell r="A70" t="str">
            <v>PATZCUARO</v>
          </cell>
        </row>
        <row r="71">
          <cell r="A71" t="str">
            <v>PENJAMILLO</v>
          </cell>
        </row>
        <row r="72">
          <cell r="A72" t="str">
            <v>PERIBAN</v>
          </cell>
        </row>
        <row r="73">
          <cell r="A73" t="str">
            <v>PUREPERO</v>
          </cell>
        </row>
        <row r="74">
          <cell r="A74" t="str">
            <v>PURUANDIRO</v>
          </cell>
        </row>
        <row r="75">
          <cell r="A75" t="str">
            <v>QUERENDARO</v>
          </cell>
        </row>
        <row r="76">
          <cell r="A76" t="str">
            <v>QUIROGA</v>
          </cell>
        </row>
        <row r="77">
          <cell r="A77" t="str">
            <v>SAHUAYO</v>
          </cell>
        </row>
        <row r="78">
          <cell r="A78" t="str">
            <v>SALVADOR ESCALANTE</v>
          </cell>
        </row>
        <row r="79">
          <cell r="A79" t="str">
            <v>SAN LUCAS</v>
          </cell>
        </row>
        <row r="80">
          <cell r="A80" t="str">
            <v>SANTA ANA MAYA</v>
          </cell>
        </row>
        <row r="81">
          <cell r="A81" t="str">
            <v>SENGUIO</v>
          </cell>
        </row>
        <row r="82">
          <cell r="A82" t="str">
            <v>SUSUPUATO</v>
          </cell>
        </row>
        <row r="83">
          <cell r="A83" t="str">
            <v>TACAMBARO</v>
          </cell>
        </row>
        <row r="84">
          <cell r="A84" t="str">
            <v>TANCITARO</v>
          </cell>
        </row>
        <row r="85">
          <cell r="A85" t="str">
            <v>TANGAMANDAPIO</v>
          </cell>
        </row>
        <row r="86">
          <cell r="A86" t="str">
            <v>TANGANCICUARO</v>
          </cell>
        </row>
        <row r="87">
          <cell r="A87" t="str">
            <v>TANHUATO</v>
          </cell>
        </row>
        <row r="88">
          <cell r="A88" t="str">
            <v>TARETAN</v>
          </cell>
        </row>
        <row r="89">
          <cell r="A89" t="str">
            <v>TARIMBARO</v>
          </cell>
        </row>
        <row r="90">
          <cell r="A90" t="str">
            <v>TEPALCATEPEC</v>
          </cell>
        </row>
        <row r="91">
          <cell r="A91" t="str">
            <v>TINGAMBATO</v>
          </cell>
        </row>
        <row r="92">
          <cell r="A92" t="str">
            <v>TINGUINDIN</v>
          </cell>
        </row>
        <row r="93">
          <cell r="A93" t="str">
            <v>TIQUICHEO</v>
          </cell>
        </row>
        <row r="94">
          <cell r="A94" t="str">
            <v>TLALPUJAHUA</v>
          </cell>
        </row>
        <row r="95">
          <cell r="A95" t="str">
            <v>TLAZAZALCA</v>
          </cell>
        </row>
        <row r="96">
          <cell r="A96" t="str">
            <v>TOCUMBO</v>
          </cell>
        </row>
        <row r="97">
          <cell r="A97" t="str">
            <v>TUMBISCATIO</v>
          </cell>
        </row>
        <row r="98">
          <cell r="A98" t="str">
            <v>TURICATO</v>
          </cell>
        </row>
        <row r="99">
          <cell r="A99" t="str">
            <v>TUXPAN</v>
          </cell>
        </row>
        <row r="100">
          <cell r="A100" t="str">
            <v>TUZANTLA</v>
          </cell>
        </row>
        <row r="101">
          <cell r="A101" t="str">
            <v>TZINTZUNTZAN</v>
          </cell>
        </row>
        <row r="102">
          <cell r="A102" t="str">
            <v>TZITZIO</v>
          </cell>
        </row>
        <row r="103">
          <cell r="A103" t="str">
            <v>URUAPAN</v>
          </cell>
        </row>
        <row r="104">
          <cell r="A104" t="str">
            <v>VENUSTIANO CARRANZA</v>
          </cell>
        </row>
        <row r="105">
          <cell r="A105" t="str">
            <v>VILLAMAR</v>
          </cell>
        </row>
        <row r="106">
          <cell r="A106" t="str">
            <v>VISTA HERMOSA</v>
          </cell>
        </row>
        <row r="107">
          <cell r="A107" t="str">
            <v>YURECUARO</v>
          </cell>
        </row>
        <row r="108">
          <cell r="A108" t="str">
            <v>ZACAPU</v>
          </cell>
        </row>
        <row r="109">
          <cell r="A109" t="str">
            <v>ZAMORA</v>
          </cell>
        </row>
        <row r="110">
          <cell r="A110" t="str">
            <v>ZINAPARO</v>
          </cell>
        </row>
        <row r="111">
          <cell r="A111" t="str">
            <v>ZINAPECUARO</v>
          </cell>
        </row>
        <row r="112">
          <cell r="A112" t="str">
            <v>ZIRACUARETIRO</v>
          </cell>
        </row>
        <row r="113">
          <cell r="A113" t="str">
            <v>ZITACUARO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Ec_Fral."/>
      <sheetName val="POA"/>
      <sheetName val="Hoja5"/>
      <sheetName val="EP01"/>
      <sheetName val="Hoja2"/>
      <sheetName val="Hoja4"/>
      <sheetName val="EP01 (2)"/>
      <sheetName val="Hoja3"/>
      <sheetName val="Hoja6"/>
      <sheetName val="CARTERA FISE"/>
      <sheetName val="Hoja1"/>
      <sheetName val="FuenteFinan"/>
      <sheetName val="Hoja7"/>
      <sheetName val="Opciones"/>
      <sheetName val="MuniZapios"/>
      <sheetName val="CatFAIS2015"/>
      <sheetName val="CatLocalidades"/>
      <sheetName val="CPostal"/>
      <sheetName val="AGEBUrb"/>
      <sheetName val="Impresión"/>
      <sheetName val="Tablas"/>
      <sheetName val="Apartados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Acacoyagua</v>
          </cell>
        </row>
        <row r="3">
          <cell r="B3" t="str">
            <v>Acala</v>
          </cell>
        </row>
        <row r="4">
          <cell r="B4" t="str">
            <v>Acapetahua</v>
          </cell>
        </row>
        <row r="5">
          <cell r="B5" t="str">
            <v>Aldama</v>
          </cell>
        </row>
        <row r="6">
          <cell r="B6" t="str">
            <v>Altamirano</v>
          </cell>
        </row>
        <row r="7">
          <cell r="B7" t="str">
            <v>Amatán</v>
          </cell>
        </row>
        <row r="8">
          <cell r="B8" t="str">
            <v>Amatenango de la Frontera</v>
          </cell>
        </row>
        <row r="9">
          <cell r="B9" t="str">
            <v>Amatenango del Valle</v>
          </cell>
        </row>
        <row r="10">
          <cell r="B10" t="str">
            <v>Angel Albino Corzo</v>
          </cell>
        </row>
        <row r="11">
          <cell r="B11" t="str">
            <v>Arriaga</v>
          </cell>
        </row>
        <row r="12">
          <cell r="B12" t="str">
            <v>Bejucal de Ocampo</v>
          </cell>
        </row>
        <row r="13">
          <cell r="B13" t="str">
            <v>Bella Vista</v>
          </cell>
        </row>
        <row r="14">
          <cell r="B14" t="str">
            <v>Benemérito de las Américas</v>
          </cell>
        </row>
        <row r="15">
          <cell r="B15" t="str">
            <v>Berriozábal</v>
          </cell>
        </row>
        <row r="16">
          <cell r="B16" t="str">
            <v>Bochil</v>
          </cell>
        </row>
        <row r="17">
          <cell r="B17" t="str">
            <v>Cacahoatán</v>
          </cell>
        </row>
        <row r="18">
          <cell r="B18" t="str">
            <v>Catazajá</v>
          </cell>
        </row>
        <row r="19">
          <cell r="B19" t="str">
            <v>Chalchihuitán</v>
          </cell>
        </row>
        <row r="20">
          <cell r="B20" t="str">
            <v>Chamula</v>
          </cell>
        </row>
        <row r="21">
          <cell r="B21" t="str">
            <v>Chanal</v>
          </cell>
        </row>
        <row r="22">
          <cell r="B22" t="str">
            <v>Chapultenango</v>
          </cell>
        </row>
        <row r="23">
          <cell r="B23" t="str">
            <v>Chenalhó</v>
          </cell>
        </row>
        <row r="24">
          <cell r="B24" t="str">
            <v>Chiapa de Corzo</v>
          </cell>
        </row>
        <row r="25">
          <cell r="B25" t="str">
            <v>Chiapilla</v>
          </cell>
        </row>
        <row r="26">
          <cell r="B26" t="str">
            <v>Chicoasén</v>
          </cell>
        </row>
        <row r="27">
          <cell r="B27" t="str">
            <v>Chicomuselo</v>
          </cell>
        </row>
        <row r="28">
          <cell r="B28" t="str">
            <v>Chilón</v>
          </cell>
        </row>
        <row r="29">
          <cell r="B29" t="str">
            <v>Cintalapa</v>
          </cell>
        </row>
        <row r="30">
          <cell r="B30" t="str">
            <v>Coapilla</v>
          </cell>
        </row>
        <row r="31">
          <cell r="B31" t="str">
            <v>Comitán de Domínguez</v>
          </cell>
        </row>
        <row r="32">
          <cell r="B32" t="str">
            <v>Copainalá</v>
          </cell>
        </row>
        <row r="33">
          <cell r="B33" t="str">
            <v>El Bosque</v>
          </cell>
        </row>
        <row r="34">
          <cell r="B34" t="str">
            <v>El Porvenir</v>
          </cell>
        </row>
        <row r="35">
          <cell r="B35" t="str">
            <v>Escuintla</v>
          </cell>
        </row>
        <row r="36">
          <cell r="B36" t="str">
            <v>Francisco León</v>
          </cell>
        </row>
        <row r="37">
          <cell r="B37" t="str">
            <v>Frontera Comalapa</v>
          </cell>
        </row>
        <row r="38">
          <cell r="B38" t="str">
            <v>Frontera Hidalgo</v>
          </cell>
        </row>
        <row r="39">
          <cell r="B39" t="str">
            <v>Huehuetán</v>
          </cell>
        </row>
        <row r="40">
          <cell r="B40" t="str">
            <v>Huitiupán</v>
          </cell>
        </row>
        <row r="41">
          <cell r="B41" t="str">
            <v>Huixtán</v>
          </cell>
        </row>
        <row r="42">
          <cell r="B42" t="str">
            <v>Huixtla</v>
          </cell>
        </row>
        <row r="43">
          <cell r="B43" t="str">
            <v>Ixhuatán</v>
          </cell>
        </row>
        <row r="44">
          <cell r="B44" t="str">
            <v>Ixtacomitán</v>
          </cell>
        </row>
        <row r="45">
          <cell r="B45" t="str">
            <v>Ixtapa</v>
          </cell>
        </row>
        <row r="46">
          <cell r="B46" t="str">
            <v>Ixtapangajoya</v>
          </cell>
        </row>
        <row r="47">
          <cell r="B47" t="str">
            <v>Jiquipilas</v>
          </cell>
        </row>
        <row r="48">
          <cell r="B48" t="str">
            <v>Jitotol</v>
          </cell>
        </row>
        <row r="49">
          <cell r="B49" t="str">
            <v>Juárez</v>
          </cell>
        </row>
        <row r="50">
          <cell r="B50" t="str">
            <v>La Concordia</v>
          </cell>
        </row>
        <row r="51">
          <cell r="B51" t="str">
            <v>La Grandeza</v>
          </cell>
        </row>
        <row r="52">
          <cell r="B52" t="str">
            <v>La Independencia</v>
          </cell>
        </row>
        <row r="53">
          <cell r="B53" t="str">
            <v>La Libertad</v>
          </cell>
        </row>
        <row r="54">
          <cell r="B54" t="str">
            <v>La Trinitaria</v>
          </cell>
        </row>
        <row r="55">
          <cell r="B55" t="str">
            <v>Larráinzar</v>
          </cell>
        </row>
        <row r="56">
          <cell r="B56" t="str">
            <v>Las Margaritas</v>
          </cell>
        </row>
        <row r="57">
          <cell r="B57" t="str">
            <v>Las Rosas</v>
          </cell>
        </row>
        <row r="58">
          <cell r="B58" t="str">
            <v>Mapastepec</v>
          </cell>
        </row>
        <row r="59">
          <cell r="B59" t="str">
            <v>Maravilla Tenejapa</v>
          </cell>
        </row>
        <row r="60">
          <cell r="B60" t="str">
            <v>Marqués de Comillas</v>
          </cell>
        </row>
        <row r="61">
          <cell r="B61" t="str">
            <v>Mazapa de Madero</v>
          </cell>
        </row>
        <row r="62">
          <cell r="B62" t="str">
            <v>Mazatán</v>
          </cell>
        </row>
        <row r="63">
          <cell r="B63" t="str">
            <v>Metapa</v>
          </cell>
        </row>
        <row r="64">
          <cell r="B64" t="str">
            <v>Mitontic</v>
          </cell>
        </row>
        <row r="65">
          <cell r="B65" t="str">
            <v>Montecristo de Guerrero</v>
          </cell>
        </row>
        <row r="66">
          <cell r="B66" t="str">
            <v>Motozintla</v>
          </cell>
        </row>
        <row r="67">
          <cell r="B67" t="str">
            <v>Nicolás Ruíz</v>
          </cell>
        </row>
        <row r="68">
          <cell r="B68" t="str">
            <v>Ocosingo</v>
          </cell>
        </row>
        <row r="69">
          <cell r="B69" t="str">
            <v>Ocotepec</v>
          </cell>
        </row>
        <row r="70">
          <cell r="B70" t="str">
            <v>Ocozocoautla de Espinosa</v>
          </cell>
        </row>
        <row r="71">
          <cell r="B71" t="str">
            <v>Ostuacán</v>
          </cell>
        </row>
        <row r="72">
          <cell r="B72" t="str">
            <v>Osumacinta</v>
          </cell>
        </row>
        <row r="73">
          <cell r="B73" t="str">
            <v>Oxchuc</v>
          </cell>
        </row>
        <row r="74">
          <cell r="B74" t="str">
            <v>Palenque</v>
          </cell>
        </row>
        <row r="75">
          <cell r="B75" t="str">
            <v>Pantelhó</v>
          </cell>
        </row>
        <row r="76">
          <cell r="B76" t="str">
            <v>Pantepec</v>
          </cell>
        </row>
        <row r="77">
          <cell r="B77" t="str">
            <v>Pichucalco</v>
          </cell>
        </row>
        <row r="78">
          <cell r="B78" t="str">
            <v>Pijijiapan</v>
          </cell>
        </row>
        <row r="79">
          <cell r="B79" t="str">
            <v>Pueblo Nuevo Solistahuacán</v>
          </cell>
        </row>
        <row r="80">
          <cell r="B80" t="str">
            <v>Rayón</v>
          </cell>
        </row>
        <row r="81">
          <cell r="B81" t="str">
            <v>Reforma</v>
          </cell>
        </row>
        <row r="82">
          <cell r="B82" t="str">
            <v>Sabanilla</v>
          </cell>
        </row>
        <row r="83">
          <cell r="B83" t="str">
            <v>Salto de Agua</v>
          </cell>
        </row>
        <row r="84">
          <cell r="B84" t="str">
            <v>San Andrés Duraznal</v>
          </cell>
        </row>
        <row r="85">
          <cell r="B85" t="str">
            <v>San Cristóbal de las Casas</v>
          </cell>
        </row>
        <row r="86">
          <cell r="B86" t="str">
            <v>San Fernando</v>
          </cell>
        </row>
        <row r="87">
          <cell r="B87" t="str">
            <v>San Juan Cancuc</v>
          </cell>
        </row>
        <row r="88">
          <cell r="B88" t="str">
            <v>San Lucas</v>
          </cell>
        </row>
        <row r="89">
          <cell r="B89" t="str">
            <v>Santiago el Pinar</v>
          </cell>
        </row>
        <row r="90">
          <cell r="B90" t="str">
            <v>Siltepec</v>
          </cell>
        </row>
        <row r="91">
          <cell r="B91" t="str">
            <v>Simojovel</v>
          </cell>
        </row>
        <row r="92">
          <cell r="B92" t="str">
            <v>Sitalá</v>
          </cell>
        </row>
        <row r="93">
          <cell r="B93" t="str">
            <v>Socoltenango</v>
          </cell>
        </row>
        <row r="94">
          <cell r="B94" t="str">
            <v>Solosuchiapa</v>
          </cell>
        </row>
        <row r="95">
          <cell r="B95" t="str">
            <v>Soyaló</v>
          </cell>
        </row>
        <row r="96">
          <cell r="B96" t="str">
            <v>Suchiapa</v>
          </cell>
        </row>
        <row r="97">
          <cell r="B97" t="str">
            <v>Suchiate</v>
          </cell>
        </row>
        <row r="98">
          <cell r="B98" t="str">
            <v>Sunuapa</v>
          </cell>
        </row>
        <row r="99">
          <cell r="B99" t="str">
            <v>Tapachula</v>
          </cell>
        </row>
        <row r="100">
          <cell r="B100" t="str">
            <v>Tapalapa</v>
          </cell>
        </row>
        <row r="101">
          <cell r="B101" t="str">
            <v>Tapilula</v>
          </cell>
        </row>
        <row r="102">
          <cell r="B102" t="str">
            <v>Tecpatán</v>
          </cell>
        </row>
        <row r="103">
          <cell r="B103" t="str">
            <v>Tenejapa</v>
          </cell>
        </row>
        <row r="104">
          <cell r="B104" t="str">
            <v>Teopisca</v>
          </cell>
        </row>
        <row r="105">
          <cell r="B105" t="str">
            <v>Tila</v>
          </cell>
        </row>
        <row r="106">
          <cell r="B106" t="str">
            <v>Tonalá</v>
          </cell>
        </row>
        <row r="107">
          <cell r="B107" t="str">
            <v>Totolapa</v>
          </cell>
        </row>
        <row r="108">
          <cell r="B108" t="str">
            <v>Tumbalá</v>
          </cell>
        </row>
        <row r="109">
          <cell r="B109" t="str">
            <v>Tuxtla Chico</v>
          </cell>
        </row>
        <row r="110">
          <cell r="B110" t="str">
            <v>Tuxtla Gutiérrez</v>
          </cell>
        </row>
        <row r="111">
          <cell r="B111" t="str">
            <v>Tuzantán</v>
          </cell>
        </row>
        <row r="112">
          <cell r="B112" t="str">
            <v>Tzimol</v>
          </cell>
        </row>
        <row r="113">
          <cell r="B113" t="str">
            <v>Unión Juárez</v>
          </cell>
        </row>
        <row r="114">
          <cell r="B114" t="str">
            <v>Venustiano Carranza</v>
          </cell>
        </row>
        <row r="115">
          <cell r="B115" t="str">
            <v>Villa Comaltitlán</v>
          </cell>
        </row>
        <row r="116">
          <cell r="B116" t="str">
            <v>Villa Corzo</v>
          </cell>
        </row>
        <row r="117">
          <cell r="B117" t="str">
            <v>Villaflores</v>
          </cell>
        </row>
        <row r="118">
          <cell r="B118" t="str">
            <v>Yajalón</v>
          </cell>
        </row>
        <row r="119">
          <cell r="B119" t="str">
            <v>Zinacantán</v>
          </cell>
        </row>
        <row r="120">
          <cell r="B120" t="str">
            <v>Cobertura Estatal</v>
          </cell>
        </row>
      </sheetData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46"/>
  <sheetViews>
    <sheetView showGridLines="0" tabSelected="1" zoomScale="80" zoomScaleNormal="80" workbookViewId="0">
      <selection activeCell="S8" sqref="S8"/>
    </sheetView>
  </sheetViews>
  <sheetFormatPr baseColWidth="10" defaultColWidth="10" defaultRowHeight="14.25"/>
  <cols>
    <col min="1" max="1" width="3.5" style="16" customWidth="1"/>
    <col min="2" max="2" width="23.25" style="16" customWidth="1"/>
    <col min="3" max="3" width="31" style="16" customWidth="1"/>
    <col min="4" max="9" width="13" style="16" customWidth="1"/>
    <col min="10" max="10" width="3.25" style="16" customWidth="1"/>
    <col min="11" max="16" width="13" style="16" customWidth="1"/>
    <col min="17" max="17" width="3.5" style="16" customWidth="1"/>
    <col min="18" max="18" width="17.375" style="16" bestFit="1" customWidth="1"/>
    <col min="19" max="16384" width="10" style="16"/>
  </cols>
  <sheetData>
    <row r="1" spans="2:23" ht="16.5" customHeight="1" thickBot="1"/>
    <row r="2" spans="2:23" s="1" customFormat="1" ht="6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/>
    </row>
    <row r="3" spans="2:23" s="1" customFormat="1" ht="24" customHeight="1">
      <c r="B3" s="6"/>
      <c r="C3" s="7"/>
      <c r="D3" s="8"/>
      <c r="E3" s="258" t="s">
        <v>174</v>
      </c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9"/>
      <c r="Q3" s="9"/>
      <c r="R3" s="9"/>
      <c r="S3" s="9"/>
      <c r="T3" s="9"/>
      <c r="U3" s="9"/>
      <c r="V3" s="9"/>
      <c r="W3" s="9"/>
    </row>
    <row r="4" spans="2:23" s="1" customFormat="1" ht="24" customHeight="1">
      <c r="B4" s="6"/>
      <c r="C4" s="7"/>
      <c r="D4" s="10"/>
      <c r="E4" s="260" t="s">
        <v>175</v>
      </c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1"/>
      <c r="Q4" s="9"/>
      <c r="R4" s="9"/>
      <c r="S4" s="9"/>
      <c r="T4" s="9"/>
      <c r="U4" s="9"/>
      <c r="V4" s="9"/>
      <c r="W4" s="9"/>
    </row>
    <row r="5" spans="2:23" s="1" customFormat="1" ht="24" customHeight="1">
      <c r="B5" s="6"/>
      <c r="C5" s="7"/>
      <c r="D5" s="5"/>
      <c r="E5" s="262" t="s">
        <v>149</v>
      </c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3"/>
      <c r="Q5" s="9"/>
      <c r="R5" s="9"/>
      <c r="S5" s="9"/>
      <c r="T5" s="9"/>
      <c r="U5" s="9"/>
      <c r="V5" s="9"/>
      <c r="W5" s="9"/>
    </row>
    <row r="6" spans="2:23" s="1" customFormat="1" ht="24" customHeight="1">
      <c r="B6" s="6"/>
      <c r="C6" s="272" t="s">
        <v>65</v>
      </c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3"/>
      <c r="Q6" s="20"/>
      <c r="R6" s="20"/>
      <c r="S6" s="20"/>
      <c r="T6" s="20"/>
      <c r="U6" s="9"/>
      <c r="V6" s="9"/>
      <c r="W6" s="9"/>
    </row>
    <row r="7" spans="2:23" s="1" customFormat="1" ht="27.75">
      <c r="B7" s="6"/>
      <c r="C7" s="7"/>
      <c r="D7" s="5"/>
      <c r="E7" s="264" t="s">
        <v>64</v>
      </c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5"/>
      <c r="Q7" s="9"/>
      <c r="R7" s="9"/>
      <c r="S7" s="9"/>
      <c r="T7" s="9"/>
      <c r="U7" s="9"/>
      <c r="V7" s="9"/>
      <c r="W7" s="9"/>
    </row>
    <row r="8" spans="2:23" s="1" customFormat="1" ht="21.75">
      <c r="B8" s="216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8"/>
      <c r="Q8" s="9"/>
      <c r="R8" s="9"/>
      <c r="S8" s="9"/>
      <c r="T8" s="9"/>
      <c r="U8" s="9"/>
      <c r="V8" s="9"/>
      <c r="W8" s="9"/>
    </row>
    <row r="9" spans="2:23" s="1" customFormat="1" ht="18">
      <c r="B9" s="11" t="s">
        <v>53</v>
      </c>
      <c r="C9" s="13"/>
      <c r="D9" s="223"/>
      <c r="E9" s="223"/>
      <c r="F9" s="14" t="s">
        <v>17</v>
      </c>
      <c r="G9" s="125"/>
      <c r="H9" s="125"/>
      <c r="I9" s="12"/>
      <c r="J9" s="12"/>
      <c r="K9" s="223"/>
      <c r="L9" s="219"/>
      <c r="M9" s="224" t="s">
        <v>150</v>
      </c>
      <c r="N9" s="225"/>
      <c r="O9" s="220"/>
      <c r="P9" s="222"/>
      <c r="Q9" s="15"/>
    </row>
    <row r="10" spans="2:23" ht="13.5" customHeight="1" thickBot="1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37"/>
      <c r="Q10" s="19"/>
    </row>
    <row r="11" spans="2:23" ht="6.75" customHeight="1" thickBot="1">
      <c r="B11" s="21"/>
      <c r="C11" s="22"/>
      <c r="D11" s="23"/>
      <c r="E11" s="23"/>
      <c r="F11" s="24"/>
      <c r="G11" s="24"/>
      <c r="H11" s="24"/>
      <c r="I11" s="24"/>
      <c r="J11" s="24"/>
      <c r="K11" s="23"/>
      <c r="L11" s="23"/>
      <c r="M11" s="24"/>
      <c r="N11" s="24"/>
      <c r="O11" s="24"/>
      <c r="P11" s="24"/>
      <c r="Q11" s="19"/>
    </row>
    <row r="12" spans="2:23" ht="30.75" customHeight="1">
      <c r="B12" s="266" t="s">
        <v>63</v>
      </c>
      <c r="C12" s="267"/>
      <c r="D12" s="241" t="s">
        <v>55</v>
      </c>
      <c r="E12" s="241"/>
      <c r="F12" s="241"/>
      <c r="G12" s="241"/>
      <c r="H12" s="241"/>
      <c r="I12" s="242"/>
      <c r="J12" s="148"/>
      <c r="K12" s="240" t="s">
        <v>56</v>
      </c>
      <c r="L12" s="241"/>
      <c r="M12" s="241"/>
      <c r="N12" s="241"/>
      <c r="O12" s="241"/>
      <c r="P12" s="242"/>
      <c r="Q12" s="25"/>
    </row>
    <row r="13" spans="2:23" ht="30.75" customHeight="1" thickBot="1">
      <c r="B13" s="268"/>
      <c r="C13" s="269"/>
      <c r="D13" s="243" t="s">
        <v>54</v>
      </c>
      <c r="E13" s="244"/>
      <c r="F13" s="244"/>
      <c r="G13" s="244"/>
      <c r="H13" s="244"/>
      <c r="I13" s="245"/>
      <c r="J13" s="148"/>
      <c r="K13" s="246" t="s">
        <v>54</v>
      </c>
      <c r="L13" s="244"/>
      <c r="M13" s="244"/>
      <c r="N13" s="244"/>
      <c r="O13" s="244"/>
      <c r="P13" s="245"/>
      <c r="Q13" s="25"/>
    </row>
    <row r="14" spans="2:23" ht="53.25" customHeight="1" thickBot="1">
      <c r="B14" s="270"/>
      <c r="C14" s="271"/>
      <c r="D14" s="146" t="s">
        <v>8</v>
      </c>
      <c r="E14" s="147" t="s">
        <v>58</v>
      </c>
      <c r="F14" s="147" t="s">
        <v>59</v>
      </c>
      <c r="G14" s="147" t="s">
        <v>60</v>
      </c>
      <c r="H14" s="147" t="s">
        <v>61</v>
      </c>
      <c r="I14" s="147" t="s">
        <v>62</v>
      </c>
      <c r="J14" s="149"/>
      <c r="K14" s="146" t="s">
        <v>8</v>
      </c>
      <c r="L14" s="147" t="s">
        <v>58</v>
      </c>
      <c r="M14" s="147" t="s">
        <v>59</v>
      </c>
      <c r="N14" s="147" t="s">
        <v>60</v>
      </c>
      <c r="O14" s="147" t="s">
        <v>61</v>
      </c>
      <c r="P14" s="147" t="s">
        <v>62</v>
      </c>
      <c r="Q14" s="25"/>
    </row>
    <row r="15" spans="2:23" ht="9.9499999999999993" customHeight="1">
      <c r="B15" s="26" t="s">
        <v>19</v>
      </c>
      <c r="C15" s="26"/>
      <c r="D15" s="27"/>
      <c r="E15" s="27"/>
      <c r="F15" s="28"/>
      <c r="G15" s="28"/>
      <c r="H15" s="28"/>
      <c r="I15" s="29"/>
      <c r="J15" s="29"/>
      <c r="K15" s="27"/>
      <c r="L15" s="27"/>
      <c r="M15" s="28"/>
      <c r="N15" s="28"/>
      <c r="O15" s="28"/>
      <c r="P15" s="29"/>
      <c r="Q15" s="25"/>
    </row>
    <row r="16" spans="2:23" ht="23.25" customHeight="1">
      <c r="B16" s="234" t="s">
        <v>20</v>
      </c>
      <c r="C16" s="257"/>
      <c r="D16" s="154">
        <f t="shared" ref="D16:I16" si="0">SUM(D17:D19)</f>
        <v>0</v>
      </c>
      <c r="E16" s="154">
        <f t="shared" si="0"/>
        <v>0</v>
      </c>
      <c r="F16" s="154">
        <f t="shared" si="0"/>
        <v>0</v>
      </c>
      <c r="G16" s="154">
        <f t="shared" si="0"/>
        <v>0</v>
      </c>
      <c r="H16" s="154">
        <f t="shared" si="0"/>
        <v>0</v>
      </c>
      <c r="I16" s="154">
        <f t="shared" si="0"/>
        <v>0</v>
      </c>
      <c r="J16" s="138"/>
      <c r="K16" s="155">
        <f t="shared" ref="K16:P16" si="1">SUM(K17:K19)</f>
        <v>0</v>
      </c>
      <c r="L16" s="155">
        <f t="shared" si="1"/>
        <v>0</v>
      </c>
      <c r="M16" s="155">
        <f t="shared" si="1"/>
        <v>0</v>
      </c>
      <c r="N16" s="155">
        <f t="shared" si="1"/>
        <v>0</v>
      </c>
      <c r="O16" s="155">
        <f t="shared" si="1"/>
        <v>0</v>
      </c>
      <c r="P16" s="155">
        <f t="shared" si="1"/>
        <v>0</v>
      </c>
      <c r="Q16" s="25"/>
    </row>
    <row r="17" spans="2:17" ht="23.25" customHeight="1">
      <c r="B17" s="31" t="s">
        <v>21</v>
      </c>
      <c r="C17" s="32"/>
      <c r="D17" s="143">
        <f>SUMIFS('Acciones rurales'!W15:W18,'Acciones rurales'!K15:K18,"=N")</f>
        <v>0</v>
      </c>
      <c r="E17" s="143">
        <f>SUMIFS('Acciones rurales'!X15:X18,'Acciones rurales'!K15:K18,"=N")</f>
        <v>0</v>
      </c>
      <c r="F17" s="143">
        <f>SUMIFS('Acciones rurales'!Y15:Y18,'Acciones rurales'!K15:K18,"=N")</f>
        <v>0</v>
      </c>
      <c r="G17" s="143">
        <f>SUMIFS('Acciones rurales'!Z15:Z18,'Acciones rurales'!K15:K18,"=N")</f>
        <v>0</v>
      </c>
      <c r="H17" s="143">
        <f>SUMIFS('Acciones rurales'!AA15:AA18,'Acciones rurales'!K15:K18,"=N")</f>
        <v>0</v>
      </c>
      <c r="I17" s="143">
        <f>SUM(D17:H17)</f>
        <v>0</v>
      </c>
      <c r="J17" s="138"/>
      <c r="K17" s="150">
        <f>SUMIFS('Acciones urbanas'!W15:W18,'Acciones urbanas'!K15:K18,"=N")</f>
        <v>0</v>
      </c>
      <c r="L17" s="150">
        <f>SUMIFS('Acciones urbanas'!X15:X18,'Acciones urbanas'!K15:K18,"=N")</f>
        <v>0</v>
      </c>
      <c r="M17" s="150">
        <f>SUMIFS('Acciones urbanas'!Y15:Y18,'Acciones urbanas'!K15:K18,"=N")</f>
        <v>0</v>
      </c>
      <c r="N17" s="150">
        <f>SUMIFS('Acciones urbanas'!Z15:Z18,'Acciones urbanas'!K15:K18,"=N")</f>
        <v>0</v>
      </c>
      <c r="O17" s="150">
        <f>SUMIFS('Acciones urbanas'!AA15:AA18,'Acciones urbanas'!K15:K18,"=N")</f>
        <v>0</v>
      </c>
      <c r="P17" s="150">
        <f>SUM(K17:O17)</f>
        <v>0</v>
      </c>
      <c r="Q17" s="25"/>
    </row>
    <row r="18" spans="2:17" ht="23.25" customHeight="1">
      <c r="B18" s="253" t="s">
        <v>22</v>
      </c>
      <c r="C18" s="254"/>
      <c r="D18" s="143">
        <f>SUMIFS('Acciones rurales'!W15:W18,'Acciones rurales'!K15:K18,"=R")</f>
        <v>0</v>
      </c>
      <c r="E18" s="143">
        <f>SUMIFS('Acciones rurales'!X15:X18,'Acciones rurales'!K15:K18,"=R")</f>
        <v>0</v>
      </c>
      <c r="F18" s="143">
        <f>SUMIFS('Acciones rurales'!Y15:Y18,'Acciones rurales'!K15:K18,"=R")</f>
        <v>0</v>
      </c>
      <c r="G18" s="143">
        <f>SUMIFS('Acciones rurales'!Z15:Z18,'Acciones rurales'!K15:K18,"=R")</f>
        <v>0</v>
      </c>
      <c r="H18" s="143">
        <f>SUMIFS('Acciones rurales'!AA15:AA18,'Acciones rurales'!K15:K18,"=R")</f>
        <v>0</v>
      </c>
      <c r="I18" s="143">
        <f>SUM(D18:H18)</f>
        <v>0</v>
      </c>
      <c r="J18" s="138"/>
      <c r="K18" s="150">
        <f>SUMIFS('Acciones urbanas'!W15:W18,'Acciones urbanas'!K15:K18,"=R")</f>
        <v>0</v>
      </c>
      <c r="L18" s="150">
        <f>SUMIFS('Acciones urbanas'!X15:X18,'Acciones urbanas'!K15:K18,"=R")</f>
        <v>0</v>
      </c>
      <c r="M18" s="150">
        <f>SUMIFS('Acciones urbanas'!Y15:Y18,'Acciones urbanas'!K15:K18,"=R")</f>
        <v>0</v>
      </c>
      <c r="N18" s="150">
        <f>SUMIFS('Acciones urbanas'!Z15:Z18,'Acciones urbanas'!K15:K18,"=R")</f>
        <v>0</v>
      </c>
      <c r="O18" s="150">
        <f>SUMIFS('Acciones urbanas'!AA15:AA18,'Acciones urbanas'!K15:K18,"=R")</f>
        <v>0</v>
      </c>
      <c r="P18" s="150">
        <f t="shared" ref="P18:P19" si="2">SUM(K18:O18)</f>
        <v>0</v>
      </c>
      <c r="Q18" s="25"/>
    </row>
    <row r="19" spans="2:17" ht="23.25" customHeight="1">
      <c r="B19" s="255" t="s">
        <v>23</v>
      </c>
      <c r="C19" s="256"/>
      <c r="D19" s="143">
        <f>SUMIFS('Acciones rurales'!W15:W18,'Acciones rurales'!K15:K18,"=M")</f>
        <v>0</v>
      </c>
      <c r="E19" s="143">
        <f>SUMIFS('Acciones rurales'!X15:X18,'Acciones rurales'!K15:K18,"=M")</f>
        <v>0</v>
      </c>
      <c r="F19" s="143">
        <f>SUMIFS('Acciones rurales'!Y15:Y18,'Acciones rurales'!K15:K18,"=M")</f>
        <v>0</v>
      </c>
      <c r="G19" s="143">
        <f>SUMIFS('Acciones rurales'!Z15:Z18,'Acciones rurales'!K15:K18,"=M")</f>
        <v>0</v>
      </c>
      <c r="H19" s="143">
        <f>SUMIFS('Acciones rurales'!AA15:AA18,'Acciones rurales'!K15:K18,"=M")</f>
        <v>0</v>
      </c>
      <c r="I19" s="143">
        <f t="shared" ref="I19" si="3">SUM(D19:H19)</f>
        <v>0</v>
      </c>
      <c r="J19" s="138"/>
      <c r="K19" s="150">
        <f>SUMIFS('Acciones urbanas'!W15:W18,'Acciones urbanas'!K15:K18,"=M")</f>
        <v>0</v>
      </c>
      <c r="L19" s="150">
        <f>SUMIFS('Acciones urbanas'!X15:X18,'Acciones urbanas'!K15:K18,"=M")</f>
        <v>0</v>
      </c>
      <c r="M19" s="150">
        <f>SUMIFS('Acciones urbanas'!Y15:Y18,'Acciones urbanas'!K15:K18,"=M")</f>
        <v>0</v>
      </c>
      <c r="N19" s="150">
        <f>SUMIFS('Acciones urbanas'!Z15:Z18,'Acciones urbanas'!K15:K18,"=M")</f>
        <v>0</v>
      </c>
      <c r="O19" s="150">
        <f>SUMIFS('Acciones urbanas'!AA15:AA18,'Acciones urbanas'!K15:K18,"=M")</f>
        <v>0</v>
      </c>
      <c r="P19" s="150">
        <f t="shared" si="2"/>
        <v>0</v>
      </c>
      <c r="Q19" s="25"/>
    </row>
    <row r="20" spans="2:17" ht="23.25" customHeight="1">
      <c r="B20" s="207" t="s">
        <v>26</v>
      </c>
      <c r="C20" s="208"/>
      <c r="D20" s="154">
        <f t="shared" ref="D20:I20" si="4">SUM(D21:D23)</f>
        <v>0</v>
      </c>
      <c r="E20" s="154">
        <f t="shared" si="4"/>
        <v>0</v>
      </c>
      <c r="F20" s="154">
        <f t="shared" si="4"/>
        <v>0</v>
      </c>
      <c r="G20" s="154">
        <f t="shared" si="4"/>
        <v>0</v>
      </c>
      <c r="H20" s="154">
        <f t="shared" si="4"/>
        <v>0</v>
      </c>
      <c r="I20" s="154">
        <f t="shared" si="4"/>
        <v>0</v>
      </c>
      <c r="J20" s="138"/>
      <c r="K20" s="155">
        <f t="shared" ref="K20:P20" si="5">SUM(K21:K23)</f>
        <v>0</v>
      </c>
      <c r="L20" s="155">
        <f t="shared" si="5"/>
        <v>0</v>
      </c>
      <c r="M20" s="155">
        <f t="shared" si="5"/>
        <v>0</v>
      </c>
      <c r="N20" s="155">
        <f t="shared" si="5"/>
        <v>0</v>
      </c>
      <c r="O20" s="155">
        <f t="shared" si="5"/>
        <v>0</v>
      </c>
      <c r="P20" s="155">
        <f t="shared" si="5"/>
        <v>0</v>
      </c>
      <c r="Q20" s="25"/>
    </row>
    <row r="21" spans="2:17" ht="23.25" customHeight="1">
      <c r="B21" s="31" t="s">
        <v>21</v>
      </c>
      <c r="C21" s="32"/>
      <c r="D21" s="143">
        <f>SUMIFS('Acciones rurales'!W21:W24,'Acciones rurales'!K21:K24,"=N")</f>
        <v>0</v>
      </c>
      <c r="E21" s="143">
        <f>SUMIFS('Acciones rurales'!X21:X24,'Acciones rurales'!K21:K24,"=N")</f>
        <v>0</v>
      </c>
      <c r="F21" s="143">
        <f>SUMIFS('Acciones rurales'!Y21:Y24,'Acciones rurales'!K21:K24,"=N")</f>
        <v>0</v>
      </c>
      <c r="G21" s="143">
        <f>SUMIFS('Acciones rurales'!Z21:Z24,'Acciones rurales'!K21:K24,"=N")</f>
        <v>0</v>
      </c>
      <c r="H21" s="143">
        <f>SUMIFS('Acciones rurales'!AA21:AA24,'Acciones rurales'!K21:K24,"=N")</f>
        <v>0</v>
      </c>
      <c r="I21" s="143">
        <f>SUM(D21:H21)</f>
        <v>0</v>
      </c>
      <c r="J21" s="138"/>
      <c r="K21" s="150">
        <f>SUMIFS('Acciones urbanas'!W21:W24,'Acciones urbanas'!K21:K24,"=N")</f>
        <v>0</v>
      </c>
      <c r="L21" s="150">
        <f>SUMIFS('Acciones urbanas'!X21:X24,'Acciones urbanas'!K21:K24,"=N")</f>
        <v>0</v>
      </c>
      <c r="M21" s="150">
        <f>SUMIFS('Acciones urbanas'!Y21:Y24,'Acciones urbanas'!K21:K24,"=N")</f>
        <v>0</v>
      </c>
      <c r="N21" s="150">
        <f>SUMIFS('Acciones urbanas'!Z21:Z24,'Acciones urbanas'!K21:K24,"=N")</f>
        <v>0</v>
      </c>
      <c r="O21" s="150">
        <f>SUMIFS('Acciones urbanas'!AA21:AA24,'Acciones urbanas'!K21:K24,"=N")</f>
        <v>0</v>
      </c>
      <c r="P21" s="150">
        <f t="shared" ref="P21:P22" si="6">SUM(K21:O21)</f>
        <v>0</v>
      </c>
      <c r="Q21" s="25"/>
    </row>
    <row r="22" spans="2:17" ht="23.25" customHeight="1">
      <c r="B22" s="253" t="s">
        <v>22</v>
      </c>
      <c r="C22" s="254"/>
      <c r="D22" s="143">
        <f>SUMIFS('Acciones rurales'!W21:W24,'Acciones rurales'!K21:K24,"=R")</f>
        <v>0</v>
      </c>
      <c r="E22" s="143">
        <f>SUMIFS('Acciones rurales'!X21:X24,'Acciones rurales'!K21:K24,"=R")</f>
        <v>0</v>
      </c>
      <c r="F22" s="143">
        <f>SUMIFS('Acciones rurales'!Y21:Y24,'Acciones rurales'!K21:K24,"=R")</f>
        <v>0</v>
      </c>
      <c r="G22" s="143">
        <f>SUMIFS('Acciones rurales'!Z21:Z24,'Acciones rurales'!K21:K24,"=R")</f>
        <v>0</v>
      </c>
      <c r="H22" s="143">
        <f>SUMIFS('Acciones rurales'!AA21:AA24,'Acciones rurales'!K21:K24,"=R")</f>
        <v>0</v>
      </c>
      <c r="I22" s="143">
        <f>SUM(D22:H22)</f>
        <v>0</v>
      </c>
      <c r="J22" s="138"/>
      <c r="K22" s="150">
        <f>SUMIFS('Acciones urbanas'!W21:W24,'Acciones urbanas'!K21:K24,"=R")</f>
        <v>0</v>
      </c>
      <c r="L22" s="150">
        <f>SUMIFS('Acciones urbanas'!X21:X24,'Acciones urbanas'!K21:K24,"=R")</f>
        <v>0</v>
      </c>
      <c r="M22" s="150">
        <f>SUMIFS('Acciones urbanas'!Y21:Y24,'Acciones urbanas'!K21:K24,"=R")</f>
        <v>0</v>
      </c>
      <c r="N22" s="150">
        <f>SUMIFS('Acciones urbanas'!Z21:Z24,'Acciones urbanas'!K21:K24,"=R")</f>
        <v>0</v>
      </c>
      <c r="O22" s="150">
        <f>SUMIFS('Acciones urbanas'!AA21:AA24,'Acciones urbanas'!K21:K24,"=R")</f>
        <v>0</v>
      </c>
      <c r="P22" s="150">
        <f t="shared" si="6"/>
        <v>0</v>
      </c>
      <c r="Q22" s="25"/>
    </row>
    <row r="23" spans="2:17" ht="23.25" customHeight="1">
      <c r="B23" s="255"/>
      <c r="C23" s="256"/>
      <c r="D23" s="143"/>
      <c r="E23" s="143"/>
      <c r="F23" s="143"/>
      <c r="G23" s="143"/>
      <c r="H23" s="143"/>
      <c r="I23" s="143"/>
      <c r="J23" s="138"/>
      <c r="K23" s="150"/>
      <c r="L23" s="150"/>
      <c r="M23" s="150"/>
      <c r="N23" s="150"/>
      <c r="O23" s="150"/>
      <c r="P23" s="150"/>
      <c r="Q23" s="25"/>
    </row>
    <row r="24" spans="2:17" ht="23.25" customHeight="1">
      <c r="B24" s="207" t="s">
        <v>27</v>
      </c>
      <c r="C24" s="208"/>
      <c r="D24" s="154">
        <f t="shared" ref="D24:I24" si="7">SUM(D25:D27)</f>
        <v>0</v>
      </c>
      <c r="E24" s="154">
        <f t="shared" si="7"/>
        <v>0</v>
      </c>
      <c r="F24" s="154">
        <f t="shared" si="7"/>
        <v>0</v>
      </c>
      <c r="G24" s="154">
        <f t="shared" si="7"/>
        <v>0</v>
      </c>
      <c r="H24" s="154">
        <f t="shared" si="7"/>
        <v>0</v>
      </c>
      <c r="I24" s="154">
        <f t="shared" si="7"/>
        <v>0</v>
      </c>
      <c r="J24" s="138"/>
      <c r="K24" s="155">
        <f t="shared" ref="K24:P24" si="8">SUM(K25:K27)</f>
        <v>0</v>
      </c>
      <c r="L24" s="155">
        <f t="shared" si="8"/>
        <v>0</v>
      </c>
      <c r="M24" s="155">
        <f t="shared" si="8"/>
        <v>0</v>
      </c>
      <c r="N24" s="155">
        <f t="shared" si="8"/>
        <v>0</v>
      </c>
      <c r="O24" s="155">
        <f t="shared" si="8"/>
        <v>0</v>
      </c>
      <c r="P24" s="155">
        <f t="shared" si="8"/>
        <v>0</v>
      </c>
      <c r="Q24" s="25"/>
    </row>
    <row r="25" spans="2:17" ht="23.25" customHeight="1">
      <c r="B25" s="31" t="s">
        <v>21</v>
      </c>
      <c r="C25" s="32"/>
      <c r="D25" s="143">
        <f>SUMIFS('Acciones rurales'!W27:W30,'Acciones rurales'!K27:K30,"=N")</f>
        <v>0</v>
      </c>
      <c r="E25" s="143">
        <f>SUMIFS('Acciones rurales'!X27:X30,'Acciones rurales'!K27:K30,"=N")</f>
        <v>0</v>
      </c>
      <c r="F25" s="143">
        <f>SUMIFS('Acciones rurales'!Y27:Y30,'Acciones rurales'!K27:K30,"=N")</f>
        <v>0</v>
      </c>
      <c r="G25" s="143">
        <f>SUMIFS('Acciones rurales'!Z27:Z30,'Acciones rurales'!K27:K30,"=N")</f>
        <v>0</v>
      </c>
      <c r="H25" s="143">
        <f>SUMIFS('Acciones rurales'!AA27:AA30,'Acciones rurales'!K27:K30,"=N")</f>
        <v>0</v>
      </c>
      <c r="I25" s="143">
        <f>SUM(D25:H25)</f>
        <v>0</v>
      </c>
      <c r="J25" s="138"/>
      <c r="K25" s="150">
        <f>SUMIFS('Acciones urbanas'!W27:W30,'Acciones urbanas'!K27:K30,"=N")</f>
        <v>0</v>
      </c>
      <c r="L25" s="150">
        <f>SUMIFS('Acciones urbanas'!X27:X30,'Acciones urbanas'!K27:K30,"=N")</f>
        <v>0</v>
      </c>
      <c r="M25" s="150">
        <f>SUMIFS('Acciones urbanas'!Y27:Y30,'Acciones urbanas'!K27:K30,"=N")</f>
        <v>0</v>
      </c>
      <c r="N25" s="150">
        <f>SUMIFS('Acciones urbanas'!Z27:Z30,'Acciones urbanas'!K27:K30,"=N")</f>
        <v>0</v>
      </c>
      <c r="O25" s="150">
        <f>SUMIFS('Acciones urbanas'!AA27:AA30,'Acciones urbanas'!K27:K30,"=N")</f>
        <v>0</v>
      </c>
      <c r="P25" s="150">
        <f t="shared" ref="P25:P26" si="9">SUM(K25:O25)</f>
        <v>0</v>
      </c>
      <c r="Q25" s="25"/>
    </row>
    <row r="26" spans="2:17" ht="23.25" customHeight="1">
      <c r="B26" s="253" t="s">
        <v>22</v>
      </c>
      <c r="C26" s="254"/>
      <c r="D26" s="143">
        <f>SUMIFS('Acciones rurales'!W27:W30,'Acciones rurales'!K27:K30,"=R")</f>
        <v>0</v>
      </c>
      <c r="E26" s="143">
        <f>SUMIFS('Acciones rurales'!X27:X30,'Acciones rurales'!K27:K30,"=R")</f>
        <v>0</v>
      </c>
      <c r="F26" s="143">
        <f>SUMIFS('Acciones rurales'!Y27:Y30,'Acciones rurales'!K27:K30,"=R")</f>
        <v>0</v>
      </c>
      <c r="G26" s="143">
        <f>SUMIFS('Acciones rurales'!Z27:Z30,'Acciones rurales'!K27:K30,"=R")</f>
        <v>0</v>
      </c>
      <c r="H26" s="143">
        <f>SUMIFS('Acciones rurales'!AA27:AA30,'Acciones rurales'!K27:K30,"=R")</f>
        <v>0</v>
      </c>
      <c r="I26" s="143">
        <f>SUM(D26:H26)</f>
        <v>0</v>
      </c>
      <c r="J26" s="138"/>
      <c r="K26" s="150">
        <f>SUMIFS('Acciones urbanas'!W27:W30,'Acciones urbanas'!K27:K30,"=R")</f>
        <v>0</v>
      </c>
      <c r="L26" s="150">
        <f>SUMIFS('Acciones urbanas'!X27:X30,'Acciones urbanas'!K27:K30,"=R")</f>
        <v>0</v>
      </c>
      <c r="M26" s="150">
        <f>SUMIFS('Acciones urbanas'!Y27:Y30,'Acciones urbanas'!K27:K30,"=R")</f>
        <v>0</v>
      </c>
      <c r="N26" s="150">
        <f>SUMIFS('Acciones urbanas'!Z27:Z30,'Acciones urbanas'!K27:K30,"=R")</f>
        <v>0</v>
      </c>
      <c r="O26" s="150">
        <f>SUMIFS('Acciones urbanas'!AA27:AA30,'Acciones urbanas'!K27:K30,"=R")</f>
        <v>0</v>
      </c>
      <c r="P26" s="150">
        <f t="shared" si="9"/>
        <v>0</v>
      </c>
      <c r="Q26" s="25"/>
    </row>
    <row r="27" spans="2:17" ht="23.25" customHeight="1">
      <c r="B27" s="255"/>
      <c r="C27" s="256"/>
      <c r="D27" s="143"/>
      <c r="E27" s="143"/>
      <c r="F27" s="143"/>
      <c r="G27" s="143"/>
      <c r="H27" s="143"/>
      <c r="I27" s="143"/>
      <c r="J27" s="138"/>
      <c r="K27" s="150"/>
      <c r="L27" s="150"/>
      <c r="M27" s="150"/>
      <c r="N27" s="150"/>
      <c r="O27" s="150"/>
      <c r="P27" s="150"/>
      <c r="Q27" s="25"/>
    </row>
    <row r="28" spans="2:17" ht="23.25" customHeight="1">
      <c r="B28" s="234" t="s">
        <v>24</v>
      </c>
      <c r="C28" s="235"/>
      <c r="D28" s="154">
        <f>'Acciones rurales'!W33</f>
        <v>0</v>
      </c>
      <c r="E28" s="154">
        <f>'Acciones rurales'!X33</f>
        <v>0</v>
      </c>
      <c r="F28" s="154">
        <f>'Acciones rurales'!Y33</f>
        <v>0</v>
      </c>
      <c r="G28" s="154">
        <f>'Acciones rurales'!Z33</f>
        <v>0</v>
      </c>
      <c r="H28" s="154">
        <f>'Acciones rurales'!AA33</f>
        <v>0</v>
      </c>
      <c r="I28" s="154">
        <f>SUM(D28:H28)</f>
        <v>0</v>
      </c>
      <c r="J28" s="138"/>
      <c r="K28" s="155">
        <f>'Acciones urbanas'!W33</f>
        <v>0</v>
      </c>
      <c r="L28" s="155">
        <f>'Acciones urbanas'!X33</f>
        <v>0</v>
      </c>
      <c r="M28" s="155">
        <f>'Acciones urbanas'!Y33</f>
        <v>0</v>
      </c>
      <c r="N28" s="155">
        <f>'Acciones urbanas'!Z33</f>
        <v>0</v>
      </c>
      <c r="O28" s="155">
        <f>'Acciones urbanas'!AA33</f>
        <v>0</v>
      </c>
      <c r="P28" s="155">
        <f t="shared" ref="P28:P30" si="10">SUM(K28:O28)</f>
        <v>0</v>
      </c>
      <c r="Q28" s="25"/>
    </row>
    <row r="29" spans="2:17" ht="23.25" customHeight="1">
      <c r="B29" s="234" t="s">
        <v>25</v>
      </c>
      <c r="C29" s="235"/>
      <c r="D29" s="154">
        <f>'Acciones rurales'!W34</f>
        <v>0</v>
      </c>
      <c r="E29" s="154">
        <f>'Acciones rurales'!X34</f>
        <v>0</v>
      </c>
      <c r="F29" s="154">
        <f>'Acciones rurales'!Y34</f>
        <v>0</v>
      </c>
      <c r="G29" s="154">
        <f>'Acciones rurales'!Z34</f>
        <v>0</v>
      </c>
      <c r="H29" s="154">
        <f>'Acciones rurales'!AA34</f>
        <v>0</v>
      </c>
      <c r="I29" s="154">
        <f t="shared" ref="I29:I30" si="11">SUM(D29:H29)</f>
        <v>0</v>
      </c>
      <c r="J29" s="138"/>
      <c r="K29" s="155">
        <f>'Acciones urbanas'!W34</f>
        <v>0</v>
      </c>
      <c r="L29" s="155">
        <f>'Acciones urbanas'!X34</f>
        <v>0</v>
      </c>
      <c r="M29" s="155">
        <f>'Acciones urbanas'!Y34</f>
        <v>0</v>
      </c>
      <c r="N29" s="155">
        <f>'Acciones urbanas'!Z34</f>
        <v>0</v>
      </c>
      <c r="O29" s="155">
        <f>'Acciones urbanas'!AA34</f>
        <v>0</v>
      </c>
      <c r="P29" s="155">
        <f t="shared" si="10"/>
        <v>0</v>
      </c>
      <c r="Q29" s="25"/>
    </row>
    <row r="30" spans="2:17" ht="23.25" customHeight="1">
      <c r="B30" s="234" t="s">
        <v>28</v>
      </c>
      <c r="C30" s="235"/>
      <c r="D30" s="154">
        <f>'Acciones rurales'!W35</f>
        <v>0</v>
      </c>
      <c r="E30" s="154">
        <f>'Acciones rurales'!X35</f>
        <v>0</v>
      </c>
      <c r="F30" s="154">
        <f>'Acciones rurales'!Y35</f>
        <v>0</v>
      </c>
      <c r="G30" s="154">
        <f>'Acciones rurales'!Z35</f>
        <v>0</v>
      </c>
      <c r="H30" s="154">
        <f>'Acciones rurales'!AA35</f>
        <v>0</v>
      </c>
      <c r="I30" s="154">
        <f t="shared" si="11"/>
        <v>0</v>
      </c>
      <c r="J30" s="138"/>
      <c r="K30" s="155">
        <f>'Acciones urbanas'!W35</f>
        <v>0</v>
      </c>
      <c r="L30" s="155">
        <f>'Acciones urbanas'!X35</f>
        <v>0</v>
      </c>
      <c r="M30" s="155">
        <f>'Acciones urbanas'!Y35</f>
        <v>0</v>
      </c>
      <c r="N30" s="155">
        <f>'Acciones urbanas'!Z35</f>
        <v>0</v>
      </c>
      <c r="O30" s="155">
        <f>'Acciones urbanas'!AA35</f>
        <v>0</v>
      </c>
      <c r="P30" s="155">
        <f t="shared" si="10"/>
        <v>0</v>
      </c>
      <c r="Q30" s="25"/>
    </row>
    <row r="31" spans="2:17" s="24" customFormat="1" ht="8.25" customHeight="1">
      <c r="B31" s="29"/>
      <c r="C31" s="29"/>
      <c r="D31" s="33"/>
      <c r="E31" s="33"/>
      <c r="F31" s="33"/>
      <c r="G31" s="33"/>
      <c r="H31" s="33"/>
      <c r="I31" s="33"/>
      <c r="J31" s="139"/>
      <c r="K31" s="33"/>
      <c r="L31" s="33"/>
      <c r="M31" s="33"/>
      <c r="N31" s="33"/>
      <c r="O31" s="33"/>
      <c r="P31" s="33"/>
      <c r="Q31" s="30"/>
    </row>
    <row r="32" spans="2:17" ht="25.5" customHeight="1">
      <c r="B32" s="251" t="s">
        <v>29</v>
      </c>
      <c r="C32" s="252"/>
      <c r="D32" s="154">
        <f>D16+D20+D24+SUM(D28:D30)</f>
        <v>0</v>
      </c>
      <c r="E32" s="154">
        <f t="shared" ref="E32:I32" si="12">E16+E20+E24+SUM(E28:E30)</f>
        <v>0</v>
      </c>
      <c r="F32" s="154">
        <f t="shared" si="12"/>
        <v>0</v>
      </c>
      <c r="G32" s="154">
        <f t="shared" si="12"/>
        <v>0</v>
      </c>
      <c r="H32" s="154">
        <f t="shared" si="12"/>
        <v>0</v>
      </c>
      <c r="I32" s="154">
        <f t="shared" si="12"/>
        <v>0</v>
      </c>
      <c r="J32" s="140"/>
      <c r="K32" s="155">
        <f>K16+K20+K24+SUM(K28:K30)</f>
        <v>0</v>
      </c>
      <c r="L32" s="155">
        <f t="shared" ref="L32:P32" si="13">L16+L20+L24+SUM(L28:L30)</f>
        <v>0</v>
      </c>
      <c r="M32" s="155">
        <f t="shared" si="13"/>
        <v>0</v>
      </c>
      <c r="N32" s="155">
        <f t="shared" si="13"/>
        <v>0</v>
      </c>
      <c r="O32" s="155">
        <f t="shared" si="13"/>
        <v>0</v>
      </c>
      <c r="P32" s="155">
        <f t="shared" si="13"/>
        <v>0</v>
      </c>
      <c r="Q32" s="25"/>
    </row>
    <row r="33" spans="2:22" ht="12.75" customHeight="1" thickBot="1">
      <c r="B33" s="34"/>
      <c r="D33" s="35"/>
      <c r="E33" s="35"/>
      <c r="F33" s="35"/>
      <c r="G33" s="35"/>
      <c r="H33" s="35"/>
      <c r="I33" s="35"/>
      <c r="J33" s="35"/>
      <c r="K33" s="144"/>
      <c r="L33" s="144"/>
      <c r="M33" s="144"/>
      <c r="N33" s="144"/>
      <c r="O33" s="144"/>
      <c r="P33" s="144"/>
      <c r="Q33" s="25"/>
    </row>
    <row r="34" spans="2:22" ht="22.5" thickBot="1">
      <c r="B34" s="34"/>
      <c r="D34" s="35"/>
      <c r="E34" s="35"/>
      <c r="F34" s="35"/>
      <c r="G34" s="35"/>
      <c r="H34" s="35"/>
      <c r="I34" s="141" t="s">
        <v>57</v>
      </c>
      <c r="J34" s="142"/>
      <c r="K34" s="145">
        <f>D32+K32</f>
        <v>0</v>
      </c>
      <c r="L34" s="145">
        <f t="shared" ref="L34:O34" si="14">E32+L32</f>
        <v>0</v>
      </c>
      <c r="M34" s="145">
        <f t="shared" si="14"/>
        <v>0</v>
      </c>
      <c r="N34" s="145">
        <f t="shared" si="14"/>
        <v>0</v>
      </c>
      <c r="O34" s="145">
        <f t="shared" si="14"/>
        <v>0</v>
      </c>
      <c r="P34" s="145">
        <f>SUM(K34:O34)</f>
        <v>0</v>
      </c>
      <c r="Q34" s="25"/>
    </row>
    <row r="35" spans="2:22" ht="12.75" customHeight="1">
      <c r="B35" s="34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25"/>
    </row>
    <row r="36" spans="2:22" ht="21.75">
      <c r="B36" s="36" t="s">
        <v>158</v>
      </c>
      <c r="C36" s="37"/>
      <c r="D36" s="38"/>
      <c r="E36" s="39"/>
      <c r="F36" s="39"/>
      <c r="G36" s="39"/>
      <c r="H36" s="39"/>
      <c r="I36" s="39"/>
      <c r="J36" s="39"/>
      <c r="K36" s="38"/>
      <c r="L36" s="39"/>
      <c r="M36" s="39"/>
      <c r="N36" s="39"/>
      <c r="O36" s="39"/>
      <c r="P36" s="39"/>
      <c r="Q36" s="25"/>
    </row>
    <row r="37" spans="2:22" ht="21.75">
      <c r="B37" s="221" t="s">
        <v>151</v>
      </c>
      <c r="C37" s="37"/>
      <c r="D37" s="38"/>
      <c r="E37" s="39"/>
      <c r="F37" s="39"/>
      <c r="G37" s="39"/>
      <c r="H37" s="39"/>
      <c r="I37" s="39"/>
      <c r="J37" s="39"/>
      <c r="K37" s="38"/>
      <c r="L37" s="39"/>
      <c r="M37" s="39"/>
      <c r="N37" s="39"/>
      <c r="O37" s="39"/>
      <c r="P37" s="39"/>
      <c r="Q37" s="25"/>
    </row>
    <row r="38" spans="2:22" ht="21" customHeight="1">
      <c r="B38" s="40"/>
      <c r="C38" s="41"/>
      <c r="D38" s="40"/>
      <c r="E38" s="39"/>
      <c r="F38" s="39"/>
      <c r="G38" s="39"/>
      <c r="H38" s="39"/>
      <c r="I38" s="39"/>
      <c r="J38" s="39"/>
      <c r="K38" s="40"/>
      <c r="L38" s="39"/>
      <c r="M38" s="39"/>
      <c r="N38" s="39"/>
      <c r="O38" s="39"/>
      <c r="P38" s="39"/>
      <c r="Q38" s="25"/>
    </row>
    <row r="39" spans="2:22" ht="21.75">
      <c r="B39" s="42" t="s">
        <v>30</v>
      </c>
      <c r="C39" s="41"/>
      <c r="D39" s="43"/>
      <c r="E39" s="39"/>
      <c r="F39" s="39"/>
      <c r="G39" s="39"/>
      <c r="H39" s="39"/>
      <c r="I39" s="39"/>
      <c r="J39" s="39"/>
      <c r="K39" s="43"/>
      <c r="L39" s="39"/>
      <c r="M39" s="39"/>
      <c r="N39" s="39"/>
      <c r="O39" s="39"/>
      <c r="P39" s="39"/>
      <c r="Q39" s="25"/>
    </row>
    <row r="40" spans="2:22" ht="21.75">
      <c r="B40" s="44"/>
      <c r="C40" s="41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25"/>
    </row>
    <row r="41" spans="2:22" ht="15" customHeight="1">
      <c r="B41" s="236" t="s">
        <v>40</v>
      </c>
      <c r="C41" s="236"/>
      <c r="D41" s="236"/>
      <c r="E41" s="45"/>
      <c r="F41" s="248" t="s">
        <v>37</v>
      </c>
      <c r="G41" s="248"/>
      <c r="H41" s="248"/>
      <c r="I41" s="248"/>
      <c r="J41" s="248"/>
      <c r="K41" s="248"/>
      <c r="L41" s="45"/>
      <c r="M41" s="249" t="s">
        <v>38</v>
      </c>
      <c r="N41" s="249"/>
      <c r="O41" s="249"/>
      <c r="P41" s="249"/>
      <c r="Q41" s="45"/>
      <c r="R41" s="45"/>
      <c r="S41" s="45"/>
      <c r="T41" s="45"/>
      <c r="U41" s="45"/>
      <c r="V41" s="45"/>
    </row>
    <row r="42" spans="2:22" ht="18">
      <c r="B42" s="250" t="s">
        <v>41</v>
      </c>
      <c r="C42" s="250"/>
      <c r="D42" s="250"/>
      <c r="F42" s="247" t="s">
        <v>39</v>
      </c>
      <c r="G42" s="247"/>
      <c r="H42" s="247"/>
      <c r="I42" s="247"/>
      <c r="J42" s="247"/>
      <c r="K42" s="247"/>
      <c r="M42" s="40"/>
      <c r="N42" s="40"/>
      <c r="O42" s="40"/>
      <c r="P42" s="40"/>
      <c r="Q42" s="46"/>
      <c r="S42" s="46"/>
      <c r="T42" s="46"/>
      <c r="U42" s="46"/>
      <c r="V42" s="46"/>
    </row>
    <row r="43" spans="2:22" ht="18">
      <c r="B43" s="236" t="s">
        <v>42</v>
      </c>
      <c r="C43" s="236"/>
      <c r="D43" s="236"/>
      <c r="F43" s="126"/>
      <c r="G43" s="126"/>
      <c r="H43" s="127"/>
      <c r="I43" s="128"/>
      <c r="J43" s="126"/>
      <c r="K43" s="126"/>
      <c r="M43" s="40"/>
      <c r="N43" s="40"/>
      <c r="O43" s="40"/>
      <c r="P43" s="40"/>
      <c r="Q43" s="47"/>
      <c r="R43" s="47"/>
      <c r="S43" s="47"/>
      <c r="T43" s="48"/>
      <c r="U43" s="48"/>
      <c r="V43" s="48"/>
    </row>
    <row r="44" spans="2:22" ht="18">
      <c r="B44" s="129"/>
      <c r="C44" s="130"/>
      <c r="D44" s="130"/>
      <c r="F44" s="126"/>
      <c r="G44" s="126"/>
      <c r="H44" s="127"/>
      <c r="I44" s="128"/>
      <c r="J44" s="126"/>
      <c r="K44" s="126"/>
      <c r="M44" s="40"/>
      <c r="N44" s="128"/>
      <c r="O44" s="128"/>
      <c r="P44" s="126"/>
      <c r="Q44" s="49"/>
      <c r="R44" s="49"/>
      <c r="S44" s="49"/>
      <c r="T44" s="48"/>
      <c r="U44" s="48"/>
      <c r="V44" s="48"/>
    </row>
    <row r="45" spans="2:22" ht="18">
      <c r="B45" s="131"/>
      <c r="C45" s="131"/>
      <c r="D45" s="131"/>
      <c r="F45" s="132"/>
      <c r="G45" s="132"/>
      <c r="H45" s="133"/>
      <c r="I45" s="134"/>
      <c r="J45" s="135"/>
      <c r="K45" s="135"/>
      <c r="M45" s="134"/>
      <c r="N45" s="134"/>
      <c r="O45" s="136"/>
      <c r="P45" s="136"/>
      <c r="Q45" s="49"/>
      <c r="R45" s="49"/>
      <c r="S45" s="49"/>
      <c r="T45" s="48"/>
      <c r="U45" s="48"/>
      <c r="V45" s="48"/>
    </row>
    <row r="46" spans="2:22" ht="18">
      <c r="B46" s="237" t="s">
        <v>43</v>
      </c>
      <c r="C46" s="237"/>
      <c r="D46" s="237"/>
      <c r="F46" s="238" t="s">
        <v>43</v>
      </c>
      <c r="G46" s="238"/>
      <c r="H46" s="238"/>
      <c r="I46" s="238"/>
      <c r="J46" s="238"/>
      <c r="K46" s="238"/>
      <c r="M46" s="239" t="s">
        <v>43</v>
      </c>
      <c r="N46" s="239"/>
      <c r="O46" s="239"/>
      <c r="P46" s="239"/>
      <c r="Q46" s="50"/>
      <c r="R46" s="49"/>
      <c r="S46" s="49"/>
      <c r="T46" s="48"/>
      <c r="U46" s="48"/>
      <c r="V46" s="48"/>
    </row>
  </sheetData>
  <mergeCells count="30">
    <mergeCell ref="B27:C27"/>
    <mergeCell ref="B16:C16"/>
    <mergeCell ref="E3:P3"/>
    <mergeCell ref="E4:P4"/>
    <mergeCell ref="E5:P5"/>
    <mergeCell ref="E7:P7"/>
    <mergeCell ref="B12:C14"/>
    <mergeCell ref="D12:I12"/>
    <mergeCell ref="C6:P6"/>
    <mergeCell ref="M46:P46"/>
    <mergeCell ref="K12:P12"/>
    <mergeCell ref="D13:I13"/>
    <mergeCell ref="K13:P13"/>
    <mergeCell ref="F42:K42"/>
    <mergeCell ref="B41:D41"/>
    <mergeCell ref="F41:K41"/>
    <mergeCell ref="M41:P41"/>
    <mergeCell ref="B42:D42"/>
    <mergeCell ref="B30:C30"/>
    <mergeCell ref="B32:C32"/>
    <mergeCell ref="B18:C18"/>
    <mergeCell ref="B19:C19"/>
    <mergeCell ref="B22:C22"/>
    <mergeCell ref="B23:C23"/>
    <mergeCell ref="B26:C26"/>
    <mergeCell ref="B28:C28"/>
    <mergeCell ref="B29:C29"/>
    <mergeCell ref="B43:D43"/>
    <mergeCell ref="B46:D46"/>
    <mergeCell ref="F46:K46"/>
  </mergeCells>
  <printOptions horizontalCentered="1"/>
  <pageMargins left="0.39370078740157483" right="0.39370078740157483" top="0.59055118110236227" bottom="0.39370078740157483" header="0.31496062992125984" footer="0.31496062992125984"/>
  <pageSetup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showGridLines="0" showRuler="0" topLeftCell="F1" zoomScale="50" zoomScaleNormal="50" zoomScaleSheetLayoutView="25" zoomScalePageLayoutView="30" workbookViewId="0">
      <selection activeCell="N23" sqref="N23"/>
    </sheetView>
  </sheetViews>
  <sheetFormatPr baseColWidth="10" defaultRowHeight="15"/>
  <cols>
    <col min="1" max="2" width="1.625" style="57" customWidth="1"/>
    <col min="3" max="3" width="6.375" style="63" customWidth="1"/>
    <col min="4" max="4" width="19.125" style="63" customWidth="1"/>
    <col min="5" max="5" width="11.125" style="63" customWidth="1"/>
    <col min="6" max="6" width="20.5" style="57" customWidth="1"/>
    <col min="7" max="8" width="24.5" style="64" customWidth="1"/>
    <col min="9" max="9" width="16" style="64" customWidth="1"/>
    <col min="10" max="10" width="113.5" style="57" customWidth="1"/>
    <col min="11" max="11" width="15.125" style="57" customWidth="1"/>
    <col min="12" max="12" width="16.75" style="57" customWidth="1"/>
    <col min="13" max="13" width="9.625" style="57" customWidth="1"/>
    <col min="14" max="14" width="13.625" style="57" customWidth="1"/>
    <col min="15" max="16" width="9.625" style="57" customWidth="1"/>
    <col min="17" max="18" width="11.125" style="57" customWidth="1"/>
    <col min="19" max="21" width="17.25" style="57" customWidth="1"/>
    <col min="22" max="22" width="2.75" style="65" customWidth="1"/>
    <col min="23" max="28" width="15.875" style="57" customWidth="1"/>
    <col min="29" max="29" width="13.625" style="57" customWidth="1"/>
    <col min="30" max="30" width="4.5" style="57" customWidth="1"/>
    <col min="31" max="16384" width="11" style="57"/>
  </cols>
  <sheetData>
    <row r="1" spans="3:29" ht="10.5" customHeight="1"/>
    <row r="2" spans="3:29" s="67" customFormat="1" ht="3.75" customHeight="1"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</row>
    <row r="3" spans="3:29" s="67" customFormat="1" ht="33" customHeight="1">
      <c r="C3" s="66"/>
      <c r="D3" s="66"/>
      <c r="E3" s="66"/>
      <c r="F3" s="68"/>
      <c r="G3" s="285" t="s">
        <v>174</v>
      </c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</row>
    <row r="4" spans="3:29" s="67" customFormat="1" ht="33" customHeight="1">
      <c r="C4" s="66"/>
      <c r="D4" s="66"/>
      <c r="E4" s="66"/>
      <c r="F4" s="69"/>
      <c r="G4" s="286" t="s">
        <v>175</v>
      </c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3:29" s="67" customFormat="1" ht="33" customHeight="1">
      <c r="C5" s="66"/>
      <c r="D5" s="66"/>
      <c r="E5" s="66"/>
      <c r="F5" s="69"/>
      <c r="G5" s="287" t="s">
        <v>149</v>
      </c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3:29" s="67" customFormat="1" ht="24" customHeight="1">
      <c r="C6" s="66"/>
      <c r="D6" s="66"/>
      <c r="E6" s="66"/>
      <c r="F6" s="70"/>
      <c r="G6" s="120"/>
      <c r="H6" s="120"/>
      <c r="I6" s="120"/>
      <c r="J6" s="120"/>
      <c r="K6" s="121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2"/>
      <c r="Y6" s="122"/>
      <c r="Z6" s="122"/>
      <c r="AA6" s="122"/>
      <c r="AB6" s="122"/>
      <c r="AC6" s="122"/>
    </row>
    <row r="7" spans="3:29" s="67" customFormat="1" ht="30">
      <c r="C7" s="66"/>
      <c r="D7" s="66"/>
      <c r="E7" s="66"/>
      <c r="F7" s="69"/>
      <c r="G7" s="287" t="s">
        <v>35</v>
      </c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</row>
    <row r="8" spans="3:29" s="67" customFormat="1" ht="15.75">
      <c r="C8" s="71"/>
      <c r="D8" s="71"/>
      <c r="E8" s="71"/>
      <c r="F8" s="66"/>
      <c r="H8" s="227"/>
      <c r="I8" s="227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</row>
    <row r="9" spans="3:29" ht="23.25">
      <c r="C9" s="74"/>
      <c r="D9" s="74"/>
      <c r="E9" s="74"/>
      <c r="F9" s="75"/>
      <c r="G9" s="123" t="s">
        <v>31</v>
      </c>
      <c r="H9" s="106"/>
      <c r="I9" s="106"/>
      <c r="J9" s="123" t="s">
        <v>17</v>
      </c>
      <c r="K9" s="51"/>
      <c r="L9" s="51"/>
      <c r="M9" s="51"/>
      <c r="N9" s="106"/>
      <c r="O9" s="106"/>
      <c r="X9" s="123" t="s">
        <v>150</v>
      </c>
      <c r="Y9" s="226"/>
      <c r="Z9" s="226"/>
      <c r="AA9" s="226"/>
      <c r="AB9" s="226"/>
      <c r="AC9" s="67"/>
    </row>
    <row r="10" spans="3:29" ht="22.5" customHeight="1" thickBot="1"/>
    <row r="11" spans="3:29" s="108" customFormat="1" ht="22.5" customHeight="1">
      <c r="C11" s="288" t="s">
        <v>0</v>
      </c>
      <c r="D11" s="277" t="s">
        <v>66</v>
      </c>
      <c r="E11" s="277" t="s">
        <v>157</v>
      </c>
      <c r="F11" s="277" t="s">
        <v>1</v>
      </c>
      <c r="G11" s="277"/>
      <c r="H11" s="277"/>
      <c r="I11" s="277" t="s">
        <v>51</v>
      </c>
      <c r="J11" s="277" t="s">
        <v>32</v>
      </c>
      <c r="K11" s="277" t="s">
        <v>34</v>
      </c>
      <c r="L11" s="277" t="s">
        <v>46</v>
      </c>
      <c r="M11" s="277" t="s">
        <v>11</v>
      </c>
      <c r="N11" s="277"/>
      <c r="O11" s="294" t="s">
        <v>153</v>
      </c>
      <c r="P11" s="295"/>
      <c r="Q11" s="295"/>
      <c r="R11" s="295"/>
      <c r="S11" s="296"/>
      <c r="T11" s="300" t="s">
        <v>161</v>
      </c>
      <c r="U11" s="300" t="s">
        <v>160</v>
      </c>
      <c r="V11" s="107"/>
      <c r="W11" s="288" t="s">
        <v>16</v>
      </c>
      <c r="X11" s="277"/>
      <c r="Y11" s="277"/>
      <c r="Z11" s="277"/>
      <c r="AA11" s="277"/>
      <c r="AB11" s="277"/>
      <c r="AC11" s="291" t="s">
        <v>50</v>
      </c>
    </row>
    <row r="12" spans="3:29" s="108" customFormat="1" ht="22.5" customHeight="1">
      <c r="C12" s="289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97"/>
      <c r="P12" s="298"/>
      <c r="Q12" s="298"/>
      <c r="R12" s="298"/>
      <c r="S12" s="299"/>
      <c r="T12" s="301"/>
      <c r="U12" s="301"/>
      <c r="V12" s="107"/>
      <c r="W12" s="289"/>
      <c r="X12" s="278"/>
      <c r="Y12" s="278"/>
      <c r="Z12" s="278"/>
      <c r="AA12" s="278"/>
      <c r="AB12" s="278"/>
      <c r="AC12" s="292"/>
    </row>
    <row r="13" spans="3:29" s="108" customFormat="1" ht="53.25" customHeight="1" thickBot="1">
      <c r="C13" s="290"/>
      <c r="D13" s="282"/>
      <c r="E13" s="282"/>
      <c r="F13" s="151" t="s">
        <v>2</v>
      </c>
      <c r="G13" s="151" t="s">
        <v>3</v>
      </c>
      <c r="H13" s="151" t="s">
        <v>4</v>
      </c>
      <c r="I13" s="282"/>
      <c r="J13" s="282"/>
      <c r="K13" s="282"/>
      <c r="L13" s="151" t="s">
        <v>33</v>
      </c>
      <c r="M13" s="151" t="s">
        <v>12</v>
      </c>
      <c r="N13" s="151" t="s">
        <v>13</v>
      </c>
      <c r="O13" s="151" t="s">
        <v>5</v>
      </c>
      <c r="P13" s="151" t="s">
        <v>6</v>
      </c>
      <c r="Q13" s="151" t="s">
        <v>7</v>
      </c>
      <c r="R13" s="151" t="s">
        <v>9</v>
      </c>
      <c r="S13" s="152" t="s">
        <v>10</v>
      </c>
      <c r="T13" s="302"/>
      <c r="U13" s="302"/>
      <c r="V13" s="107"/>
      <c r="W13" s="153" t="s">
        <v>8</v>
      </c>
      <c r="X13" s="151" t="s">
        <v>14</v>
      </c>
      <c r="Y13" s="151" t="s">
        <v>15</v>
      </c>
      <c r="Z13" s="151" t="s">
        <v>60</v>
      </c>
      <c r="AA13" s="178" t="s">
        <v>61</v>
      </c>
      <c r="AB13" s="151" t="s">
        <v>18</v>
      </c>
      <c r="AC13" s="293"/>
    </row>
    <row r="14" spans="3:29" s="65" customFormat="1" ht="44.25" customHeight="1">
      <c r="C14" s="76"/>
      <c r="D14" s="76"/>
      <c r="E14" s="76"/>
      <c r="F14" s="124" t="s">
        <v>36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 spans="3:29" ht="65.099999999999994" customHeight="1">
      <c r="C15" s="77">
        <v>1</v>
      </c>
      <c r="D15" s="77"/>
      <c r="E15" s="77"/>
      <c r="F15" s="77"/>
      <c r="G15" s="78"/>
      <c r="H15" s="78"/>
      <c r="I15" s="79"/>
      <c r="J15" s="79"/>
      <c r="K15" s="79"/>
      <c r="L15" s="80"/>
      <c r="M15" s="81"/>
      <c r="N15" s="81"/>
      <c r="O15" s="81"/>
      <c r="P15" s="81"/>
      <c r="Q15" s="81"/>
      <c r="R15" s="81"/>
      <c r="S15" s="81"/>
      <c r="T15" s="81"/>
      <c r="U15" s="81"/>
      <c r="V15" s="82"/>
      <c r="W15" s="81"/>
      <c r="X15" s="81"/>
      <c r="Y15" s="81"/>
      <c r="Z15" s="81"/>
      <c r="AA15" s="81"/>
      <c r="AB15" s="81">
        <f>SUM(W15:Z15)</f>
        <v>0</v>
      </c>
      <c r="AC15" s="83"/>
    </row>
    <row r="16" spans="3:29" ht="65.099999999999994" customHeight="1">
      <c r="C16" s="77">
        <v>2</v>
      </c>
      <c r="D16" s="77"/>
      <c r="E16" s="77"/>
      <c r="F16" s="77"/>
      <c r="G16" s="78"/>
      <c r="H16" s="78"/>
      <c r="I16" s="79"/>
      <c r="J16" s="79"/>
      <c r="K16" s="79"/>
      <c r="L16" s="80"/>
      <c r="M16" s="81"/>
      <c r="N16" s="81"/>
      <c r="O16" s="84"/>
      <c r="P16" s="84"/>
      <c r="Q16" s="84"/>
      <c r="R16" s="84"/>
      <c r="S16" s="84"/>
      <c r="T16" s="84"/>
      <c r="U16" s="84"/>
      <c r="V16" s="82"/>
      <c r="W16" s="84"/>
      <c r="X16" s="84"/>
      <c r="Y16" s="84"/>
      <c r="Z16" s="84"/>
      <c r="AA16" s="84"/>
      <c r="AB16" s="81">
        <f t="shared" ref="AB16:AB18" si="0">SUM(W16:Z16)</f>
        <v>0</v>
      </c>
      <c r="AC16" s="83"/>
    </row>
    <row r="17" spans="1:29" ht="65.099999999999994" customHeight="1">
      <c r="C17" s="77">
        <v>3</v>
      </c>
      <c r="D17" s="77"/>
      <c r="E17" s="77"/>
      <c r="F17" s="77"/>
      <c r="G17" s="78"/>
      <c r="H17" s="78"/>
      <c r="I17" s="79"/>
      <c r="J17" s="79"/>
      <c r="K17" s="79"/>
      <c r="L17" s="80"/>
      <c r="M17" s="81"/>
      <c r="N17" s="81"/>
      <c r="O17" s="84"/>
      <c r="P17" s="84"/>
      <c r="Q17" s="84"/>
      <c r="R17" s="84"/>
      <c r="S17" s="84"/>
      <c r="T17" s="84"/>
      <c r="U17" s="84"/>
      <c r="V17" s="82"/>
      <c r="W17" s="84"/>
      <c r="X17" s="84"/>
      <c r="Y17" s="84"/>
      <c r="Z17" s="84"/>
      <c r="AA17" s="84"/>
      <c r="AB17" s="81">
        <f t="shared" si="0"/>
        <v>0</v>
      </c>
      <c r="AC17" s="83"/>
    </row>
    <row r="18" spans="1:29" ht="65.099999999999994" customHeight="1" thickBot="1">
      <c r="C18" s="77">
        <v>4</v>
      </c>
      <c r="D18" s="77"/>
      <c r="E18" s="77"/>
      <c r="F18" s="77"/>
      <c r="G18" s="78"/>
      <c r="H18" s="78"/>
      <c r="I18" s="80"/>
      <c r="J18" s="80"/>
      <c r="K18" s="79"/>
      <c r="L18" s="80"/>
      <c r="M18" s="81"/>
      <c r="N18" s="81"/>
      <c r="O18" s="84"/>
      <c r="P18" s="84"/>
      <c r="Q18" s="84"/>
      <c r="R18" s="84"/>
      <c r="S18" s="84"/>
      <c r="T18" s="81"/>
      <c r="U18" s="81"/>
      <c r="V18" s="82"/>
      <c r="W18" s="84"/>
      <c r="X18" s="84"/>
      <c r="Y18" s="84"/>
      <c r="Z18" s="84"/>
      <c r="AA18" s="84"/>
      <c r="AB18" s="81">
        <f t="shared" si="0"/>
        <v>0</v>
      </c>
      <c r="AC18" s="83"/>
    </row>
    <row r="19" spans="1:29" ht="56.25" customHeight="1" thickBot="1">
      <c r="A19" s="85"/>
      <c r="B19" s="85"/>
      <c r="C19" s="85"/>
      <c r="D19" s="85"/>
      <c r="E19" s="85"/>
      <c r="F19" s="85"/>
      <c r="G19" s="85"/>
      <c r="H19" s="85"/>
      <c r="I19" s="85"/>
      <c r="K19" s="86"/>
      <c r="L19" s="87"/>
      <c r="M19" s="116" t="s">
        <v>47</v>
      </c>
      <c r="O19" s="199">
        <f>SUM(O15:O18)</f>
        <v>0</v>
      </c>
      <c r="P19" s="199">
        <f>SUM(P15:P18)</f>
        <v>0</v>
      </c>
      <c r="Q19" s="199">
        <f>SUM(Q15:Q18)</f>
        <v>0</v>
      </c>
      <c r="R19" s="199">
        <f>SUM(R15:R18)</f>
        <v>0</v>
      </c>
      <c r="S19" s="199">
        <f>SUM(S15:S18)</f>
        <v>0</v>
      </c>
      <c r="U19" s="90"/>
      <c r="V19" s="230"/>
      <c r="W19" s="199">
        <f>SUM(W15:W18)</f>
        <v>0</v>
      </c>
      <c r="X19" s="199">
        <f t="shared" ref="X19:AB19" si="1">SUM(X15:X18)</f>
        <v>0</v>
      </c>
      <c r="Y19" s="199">
        <f t="shared" si="1"/>
        <v>0</v>
      </c>
      <c r="Z19" s="199">
        <f t="shared" si="1"/>
        <v>0</v>
      </c>
      <c r="AA19" s="199">
        <f t="shared" si="1"/>
        <v>0</v>
      </c>
      <c r="AB19" s="199">
        <f t="shared" si="1"/>
        <v>0</v>
      </c>
      <c r="AC19" s="88"/>
    </row>
    <row r="20" spans="1:29" s="65" customFormat="1" ht="43.5" customHeight="1">
      <c r="C20" s="76"/>
      <c r="D20" s="76"/>
      <c r="E20" s="76"/>
      <c r="F20" s="124" t="s">
        <v>26</v>
      </c>
      <c r="G20" s="89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209"/>
      <c r="X20" s="209"/>
      <c r="Y20" s="209"/>
      <c r="Z20" s="209"/>
      <c r="AA20" s="209"/>
      <c r="AB20" s="209"/>
      <c r="AC20" s="76"/>
    </row>
    <row r="21" spans="1:29" ht="65.099999999999994" customHeight="1">
      <c r="C21" s="77">
        <v>5</v>
      </c>
      <c r="D21" s="77"/>
      <c r="E21" s="77"/>
      <c r="F21" s="77"/>
      <c r="G21" s="78"/>
      <c r="H21" s="78"/>
      <c r="I21" s="79"/>
      <c r="J21" s="79"/>
      <c r="K21" s="79"/>
      <c r="L21" s="80"/>
      <c r="M21" s="81"/>
      <c r="N21" s="81"/>
      <c r="O21" s="81"/>
      <c r="P21" s="81"/>
      <c r="Q21" s="81"/>
      <c r="R21" s="81"/>
      <c r="S21" s="81"/>
      <c r="T21" s="81"/>
      <c r="U21" s="81"/>
      <c r="V21" s="82"/>
      <c r="W21" s="81"/>
      <c r="X21" s="81"/>
      <c r="Y21" s="81"/>
      <c r="Z21" s="81"/>
      <c r="AA21" s="81"/>
      <c r="AB21" s="81">
        <f>SUM(W21:Z21)</f>
        <v>0</v>
      </c>
      <c r="AC21" s="83"/>
    </row>
    <row r="22" spans="1:29" ht="65.099999999999994" customHeight="1">
      <c r="C22" s="77">
        <v>6</v>
      </c>
      <c r="D22" s="77"/>
      <c r="E22" s="77"/>
      <c r="F22" s="77"/>
      <c r="G22" s="78"/>
      <c r="H22" s="78"/>
      <c r="I22" s="79"/>
      <c r="J22" s="79"/>
      <c r="K22" s="79"/>
      <c r="L22" s="80"/>
      <c r="M22" s="81"/>
      <c r="N22" s="81"/>
      <c r="O22" s="84"/>
      <c r="P22" s="84"/>
      <c r="Q22" s="84"/>
      <c r="R22" s="84"/>
      <c r="S22" s="84"/>
      <c r="T22" s="84"/>
      <c r="U22" s="84"/>
      <c r="V22" s="82"/>
      <c r="W22" s="84"/>
      <c r="X22" s="84"/>
      <c r="Y22" s="84"/>
      <c r="Z22" s="84"/>
      <c r="AA22" s="84"/>
      <c r="AB22" s="81">
        <f t="shared" ref="AB22:AB24" si="2">SUM(W22:Z22)</f>
        <v>0</v>
      </c>
      <c r="AC22" s="83"/>
    </row>
    <row r="23" spans="1:29" ht="65.099999999999994" customHeight="1">
      <c r="C23" s="77">
        <v>7</v>
      </c>
      <c r="D23" s="77"/>
      <c r="E23" s="77"/>
      <c r="F23" s="77"/>
      <c r="G23" s="78"/>
      <c r="H23" s="78"/>
      <c r="I23" s="79"/>
      <c r="J23" s="79"/>
      <c r="K23" s="79"/>
      <c r="L23" s="80"/>
      <c r="M23" s="81"/>
      <c r="N23" s="81"/>
      <c r="O23" s="84"/>
      <c r="P23" s="84"/>
      <c r="Q23" s="84"/>
      <c r="R23" s="84"/>
      <c r="S23" s="84"/>
      <c r="T23" s="84"/>
      <c r="U23" s="84"/>
      <c r="V23" s="82"/>
      <c r="W23" s="84"/>
      <c r="X23" s="84"/>
      <c r="Y23" s="84"/>
      <c r="Z23" s="84"/>
      <c r="AA23" s="84"/>
      <c r="AB23" s="81">
        <f t="shared" si="2"/>
        <v>0</v>
      </c>
      <c r="AC23" s="83"/>
    </row>
    <row r="24" spans="1:29" ht="65.099999999999994" customHeight="1" thickBot="1">
      <c r="C24" s="77">
        <v>8</v>
      </c>
      <c r="D24" s="77"/>
      <c r="E24" s="77"/>
      <c r="F24" s="77"/>
      <c r="G24" s="78"/>
      <c r="H24" s="78"/>
      <c r="I24" s="80"/>
      <c r="J24" s="80"/>
      <c r="K24" s="79"/>
      <c r="L24" s="80"/>
      <c r="M24" s="81"/>
      <c r="N24" s="81"/>
      <c r="O24" s="84"/>
      <c r="P24" s="84"/>
      <c r="Q24" s="84"/>
      <c r="R24" s="84"/>
      <c r="S24" s="84"/>
      <c r="T24" s="81"/>
      <c r="U24" s="81"/>
      <c r="V24" s="82"/>
      <c r="W24" s="84"/>
      <c r="X24" s="84"/>
      <c r="Y24" s="84"/>
      <c r="Z24" s="84"/>
      <c r="AA24" s="84"/>
      <c r="AB24" s="81">
        <f t="shared" si="2"/>
        <v>0</v>
      </c>
      <c r="AC24" s="83"/>
    </row>
    <row r="25" spans="1:29" ht="56.25" customHeight="1" thickBot="1">
      <c r="A25" s="85"/>
      <c r="B25" s="85"/>
      <c r="C25" s="90"/>
      <c r="D25" s="90"/>
      <c r="E25" s="90"/>
      <c r="F25" s="90"/>
      <c r="G25" s="90"/>
      <c r="H25" s="90"/>
      <c r="I25" s="90"/>
      <c r="J25" s="90"/>
      <c r="K25" s="91"/>
      <c r="L25" s="92"/>
      <c r="M25" s="117" t="s">
        <v>48</v>
      </c>
      <c r="O25" s="199">
        <f>SUM(O21:O24)</f>
        <v>0</v>
      </c>
      <c r="P25" s="199">
        <f>SUM(P21:P24)</f>
        <v>0</v>
      </c>
      <c r="Q25" s="199">
        <f>SUM(Q21:Q24)</f>
        <v>0</v>
      </c>
      <c r="R25" s="199">
        <f>SUM(R21:R24)</f>
        <v>0</v>
      </c>
      <c r="S25" s="199">
        <f>SUM(S21:S24)</f>
        <v>0</v>
      </c>
      <c r="U25" s="90"/>
      <c r="V25" s="230"/>
      <c r="W25" s="199">
        <f>SUM(W21:W24)</f>
        <v>0</v>
      </c>
      <c r="X25" s="199">
        <f t="shared" ref="X25" si="3">SUM(X21:X24)</f>
        <v>0</v>
      </c>
      <c r="Y25" s="199">
        <f t="shared" ref="Y25" si="4">SUM(Y21:Y24)</f>
        <v>0</v>
      </c>
      <c r="Z25" s="199">
        <f t="shared" ref="Z25:AA25" si="5">SUM(Z21:Z24)</f>
        <v>0</v>
      </c>
      <c r="AA25" s="199">
        <f t="shared" si="5"/>
        <v>0</v>
      </c>
      <c r="AB25" s="199">
        <f t="shared" ref="AB25" si="6">SUM(AB21:AB24)</f>
        <v>0</v>
      </c>
      <c r="AC25" s="93"/>
    </row>
    <row r="26" spans="1:29" s="65" customFormat="1" ht="48" customHeight="1">
      <c r="C26" s="76"/>
      <c r="D26" s="76"/>
      <c r="E26" s="76"/>
      <c r="F26" s="124" t="s">
        <v>27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209"/>
      <c r="X26" s="209"/>
      <c r="Y26" s="209"/>
      <c r="Z26" s="209"/>
      <c r="AA26" s="209"/>
      <c r="AB26" s="209"/>
      <c r="AC26" s="76"/>
    </row>
    <row r="27" spans="1:29" ht="65.099999999999994" customHeight="1">
      <c r="C27" s="77">
        <v>9</v>
      </c>
      <c r="D27" s="77"/>
      <c r="E27" s="77"/>
      <c r="F27" s="77"/>
      <c r="G27" s="78"/>
      <c r="H27" s="78"/>
      <c r="I27" s="79"/>
      <c r="J27" s="79"/>
      <c r="K27" s="79"/>
      <c r="L27" s="80"/>
      <c r="M27" s="81"/>
      <c r="N27" s="81"/>
      <c r="O27" s="81"/>
      <c r="P27" s="81"/>
      <c r="Q27" s="81"/>
      <c r="R27" s="81"/>
      <c r="S27" s="81"/>
      <c r="T27" s="81"/>
      <c r="U27" s="81"/>
      <c r="V27" s="82"/>
      <c r="W27" s="81"/>
      <c r="X27" s="81"/>
      <c r="Y27" s="81"/>
      <c r="Z27" s="81"/>
      <c r="AA27" s="81"/>
      <c r="AB27" s="81">
        <f>SUM(W27:AA27)</f>
        <v>0</v>
      </c>
      <c r="AC27" s="83"/>
    </row>
    <row r="28" spans="1:29" ht="65.099999999999994" customHeight="1">
      <c r="C28" s="77">
        <v>10</v>
      </c>
      <c r="D28" s="77"/>
      <c r="E28" s="77"/>
      <c r="F28" s="77"/>
      <c r="G28" s="78"/>
      <c r="H28" s="78"/>
      <c r="I28" s="79"/>
      <c r="J28" s="79"/>
      <c r="K28" s="79"/>
      <c r="L28" s="80"/>
      <c r="M28" s="81"/>
      <c r="N28" s="81"/>
      <c r="O28" s="84"/>
      <c r="P28" s="84"/>
      <c r="Q28" s="84"/>
      <c r="R28" s="84"/>
      <c r="S28" s="84"/>
      <c r="T28" s="84"/>
      <c r="U28" s="84"/>
      <c r="V28" s="82"/>
      <c r="W28" s="84"/>
      <c r="X28" s="84"/>
      <c r="Y28" s="84"/>
      <c r="Z28" s="84"/>
      <c r="AA28" s="84"/>
      <c r="AB28" s="81">
        <f t="shared" ref="AB28:AB29" si="7">SUM(W28:Z28)</f>
        <v>0</v>
      </c>
      <c r="AC28" s="83"/>
    </row>
    <row r="29" spans="1:29" ht="65.099999999999994" customHeight="1">
      <c r="C29" s="77">
        <v>11</v>
      </c>
      <c r="D29" s="77"/>
      <c r="E29" s="77"/>
      <c r="F29" s="77"/>
      <c r="G29" s="78"/>
      <c r="H29" s="78"/>
      <c r="I29" s="79"/>
      <c r="J29" s="79"/>
      <c r="K29" s="79"/>
      <c r="L29" s="80"/>
      <c r="M29" s="81"/>
      <c r="N29" s="81"/>
      <c r="O29" s="84"/>
      <c r="P29" s="84"/>
      <c r="Q29" s="84"/>
      <c r="R29" s="84"/>
      <c r="S29" s="84"/>
      <c r="T29" s="84"/>
      <c r="U29" s="84"/>
      <c r="V29" s="82"/>
      <c r="W29" s="84"/>
      <c r="X29" s="84"/>
      <c r="Y29" s="84"/>
      <c r="Z29" s="84"/>
      <c r="AA29" s="84"/>
      <c r="AB29" s="81">
        <f t="shared" si="7"/>
        <v>0</v>
      </c>
      <c r="AC29" s="83"/>
    </row>
    <row r="30" spans="1:29" ht="65.099999999999994" customHeight="1" thickBot="1">
      <c r="C30" s="77">
        <v>12</v>
      </c>
      <c r="D30" s="77"/>
      <c r="E30" s="77"/>
      <c r="F30" s="77"/>
      <c r="G30" s="78"/>
      <c r="H30" s="78"/>
      <c r="I30" s="80"/>
      <c r="J30" s="80"/>
      <c r="K30" s="79"/>
      <c r="L30" s="80"/>
      <c r="M30" s="81"/>
      <c r="N30" s="81"/>
      <c r="O30" s="84"/>
      <c r="P30" s="84"/>
      <c r="Q30" s="84"/>
      <c r="R30" s="84"/>
      <c r="S30" s="84"/>
      <c r="T30" s="81"/>
      <c r="U30" s="81"/>
      <c r="V30" s="82"/>
      <c r="W30" s="84"/>
      <c r="X30" s="84"/>
      <c r="Y30" s="84"/>
      <c r="Z30" s="84"/>
      <c r="AA30" s="84"/>
      <c r="AB30" s="81">
        <f>SUM(W30:AA30)</f>
        <v>0</v>
      </c>
      <c r="AC30" s="83"/>
    </row>
    <row r="31" spans="1:29" ht="56.25" customHeight="1" thickBot="1">
      <c r="A31" s="85"/>
      <c r="B31" s="85"/>
      <c r="C31" s="85"/>
      <c r="D31" s="85"/>
      <c r="E31" s="85"/>
      <c r="F31" s="85"/>
      <c r="G31" s="85"/>
      <c r="H31" s="85"/>
      <c r="I31" s="85"/>
      <c r="K31" s="86"/>
      <c r="L31" s="87"/>
      <c r="M31" s="116" t="s">
        <v>49</v>
      </c>
      <c r="O31" s="199">
        <f>SUM(O27:O30)</f>
        <v>0</v>
      </c>
      <c r="P31" s="199">
        <f>SUM(P27:P30)</f>
        <v>0</v>
      </c>
      <c r="Q31" s="199">
        <f>SUM(Q27:Q30)</f>
        <v>0</v>
      </c>
      <c r="R31" s="199">
        <f>SUM(R27:R30)</f>
        <v>0</v>
      </c>
      <c r="S31" s="199">
        <f>SUM(S27:S30)</f>
        <v>0</v>
      </c>
      <c r="U31" s="90"/>
      <c r="V31" s="230"/>
      <c r="W31" s="199">
        <f>SUM(W27:W30)</f>
        <v>0</v>
      </c>
      <c r="X31" s="199">
        <f>SUM(X27:X30)</f>
        <v>0</v>
      </c>
      <c r="Y31" s="199">
        <f t="shared" ref="Y31" si="8">SUM(Y27:Y30)</f>
        <v>0</v>
      </c>
      <c r="Z31" s="199">
        <f t="shared" ref="Z31:AA31" si="9">SUM(Z27:Z30)</f>
        <v>0</v>
      </c>
      <c r="AA31" s="199">
        <f t="shared" si="9"/>
        <v>0</v>
      </c>
      <c r="AB31" s="199">
        <f t="shared" ref="AB31" si="10">SUM(AB27:AB30)</f>
        <v>0</v>
      </c>
      <c r="AC31" s="88"/>
    </row>
    <row r="32" spans="1:29" s="65" customFormat="1" ht="15.75">
      <c r="C32" s="76"/>
      <c r="D32" s="76"/>
      <c r="E32" s="76"/>
      <c r="F32" s="6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209"/>
      <c r="X32" s="209"/>
      <c r="Y32" s="209"/>
      <c r="Z32" s="209"/>
      <c r="AA32" s="209"/>
      <c r="AB32" s="209"/>
      <c r="AC32" s="76"/>
    </row>
    <row r="33" spans="3:29" s="94" customFormat="1" ht="35.1" customHeight="1">
      <c r="C33" s="77">
        <v>13</v>
      </c>
      <c r="D33" s="77"/>
      <c r="E33" s="77"/>
      <c r="F33" s="77"/>
      <c r="G33" s="78"/>
      <c r="H33" s="78"/>
      <c r="I33" s="78"/>
      <c r="J33" s="118" t="s">
        <v>24</v>
      </c>
      <c r="K33" s="79"/>
      <c r="L33" s="80"/>
      <c r="M33" s="80" t="s">
        <v>142</v>
      </c>
      <c r="N33" s="81"/>
      <c r="O33" s="200"/>
      <c r="P33" s="200"/>
      <c r="Q33" s="200"/>
      <c r="R33" s="200"/>
      <c r="S33" s="200"/>
      <c r="T33" s="111"/>
      <c r="U33" s="111"/>
      <c r="V33" s="231"/>
      <c r="W33" s="210"/>
      <c r="X33" s="210"/>
      <c r="Y33" s="210"/>
      <c r="Z33" s="210"/>
      <c r="AA33" s="210"/>
      <c r="AB33" s="81">
        <f>SUM(W33:AA33)</f>
        <v>0</v>
      </c>
      <c r="AC33" s="83"/>
    </row>
    <row r="34" spans="3:29" s="94" customFormat="1" ht="35.1" customHeight="1">
      <c r="C34" s="77">
        <v>14</v>
      </c>
      <c r="D34" s="77"/>
      <c r="E34" s="77"/>
      <c r="F34" s="77"/>
      <c r="G34" s="78"/>
      <c r="H34" s="78"/>
      <c r="I34" s="78"/>
      <c r="J34" s="118" t="s">
        <v>25</v>
      </c>
      <c r="K34" s="79"/>
      <c r="L34" s="80"/>
      <c r="M34" s="80" t="s">
        <v>83</v>
      </c>
      <c r="N34" s="81"/>
      <c r="O34" s="200"/>
      <c r="P34" s="200"/>
      <c r="Q34" s="200"/>
      <c r="R34" s="200"/>
      <c r="S34" s="200"/>
      <c r="T34" s="111"/>
      <c r="U34" s="111"/>
      <c r="V34" s="231"/>
      <c r="W34" s="210"/>
      <c r="X34" s="210"/>
      <c r="Y34" s="210"/>
      <c r="Z34" s="210"/>
      <c r="AA34" s="210"/>
      <c r="AB34" s="81">
        <f>SUM(W34:AA34)</f>
        <v>0</v>
      </c>
      <c r="AC34" s="83"/>
    </row>
    <row r="35" spans="3:29" ht="35.1" customHeight="1">
      <c r="C35" s="95">
        <v>15</v>
      </c>
      <c r="D35" s="95"/>
      <c r="E35" s="95"/>
      <c r="F35" s="95"/>
      <c r="G35" s="96"/>
      <c r="H35" s="96"/>
      <c r="I35" s="96"/>
      <c r="J35" s="119" t="s">
        <v>45</v>
      </c>
      <c r="K35" s="79"/>
      <c r="L35" s="80"/>
      <c r="M35" s="97"/>
      <c r="N35" s="97"/>
      <c r="O35" s="201"/>
      <c r="P35" s="201"/>
      <c r="Q35" s="201"/>
      <c r="R35" s="201"/>
      <c r="S35" s="201"/>
      <c r="T35" s="111"/>
      <c r="U35" s="111"/>
      <c r="V35" s="232"/>
      <c r="W35" s="211"/>
      <c r="X35" s="211"/>
      <c r="Y35" s="211"/>
      <c r="Z35" s="211"/>
      <c r="AA35" s="211"/>
      <c r="AB35" s="81">
        <f>SUM(W35:AA35)</f>
        <v>0</v>
      </c>
      <c r="AC35" s="83"/>
    </row>
    <row r="36" spans="3:29" ht="23.25" customHeight="1">
      <c r="C36" s="52"/>
      <c r="D36" s="52"/>
      <c r="E36" s="52"/>
      <c r="F36" s="52"/>
      <c r="G36" s="53"/>
      <c r="H36" s="53"/>
      <c r="I36" s="53"/>
      <c r="J36" s="54"/>
      <c r="K36" s="54"/>
      <c r="L36" s="54"/>
      <c r="M36" s="54"/>
      <c r="N36" s="54"/>
      <c r="O36" s="55">
        <f>O19+O25+O31</f>
        <v>0</v>
      </c>
      <c r="P36" s="55">
        <f t="shared" ref="P36:S36" si="11">SUM(P33:P35)+P19+P25+P31</f>
        <v>0</v>
      </c>
      <c r="Q36" s="55">
        <f t="shared" si="11"/>
        <v>0</v>
      </c>
      <c r="R36" s="55">
        <f t="shared" si="11"/>
        <v>0</v>
      </c>
      <c r="S36" s="55">
        <f t="shared" si="11"/>
        <v>0</v>
      </c>
      <c r="T36" s="111"/>
      <c r="U36" s="111"/>
      <c r="V36" s="233"/>
      <c r="W36" s="55">
        <f>SUM(W33:W35)+W19+W25+W31</f>
        <v>0</v>
      </c>
      <c r="X36" s="55">
        <f t="shared" ref="X36:AB36" si="12">SUM(X33:X35)+X19+X25+X31</f>
        <v>0</v>
      </c>
      <c r="Y36" s="55">
        <f t="shared" si="12"/>
        <v>0</v>
      </c>
      <c r="Z36" s="55">
        <f t="shared" si="12"/>
        <v>0</v>
      </c>
      <c r="AA36" s="55">
        <f t="shared" si="12"/>
        <v>0</v>
      </c>
      <c r="AB36" s="55">
        <f t="shared" si="12"/>
        <v>0</v>
      </c>
      <c r="AC36" s="56"/>
    </row>
    <row r="37" spans="3:29" s="73" customFormat="1" ht="21" customHeight="1">
      <c r="C37" s="98"/>
      <c r="D37" s="98"/>
      <c r="E37" s="98"/>
      <c r="F37" s="98"/>
      <c r="G37" s="99"/>
      <c r="H37" s="99"/>
      <c r="I37" s="99"/>
      <c r="J37" s="100"/>
      <c r="K37" s="100"/>
      <c r="L37" s="100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2"/>
      <c r="X37" s="102"/>
      <c r="Y37" s="102"/>
      <c r="Z37" s="102"/>
      <c r="AA37" s="102"/>
      <c r="AB37" s="102"/>
      <c r="AC37" s="103"/>
    </row>
    <row r="38" spans="3:29" s="60" customFormat="1" ht="20.25">
      <c r="F38" s="156" t="s">
        <v>67</v>
      </c>
      <c r="G38" s="157" t="s">
        <v>154</v>
      </c>
      <c r="H38" s="109"/>
      <c r="I38" s="158"/>
      <c r="J38" s="158"/>
      <c r="K38" s="158"/>
      <c r="L38" s="58"/>
      <c r="M38" s="159"/>
      <c r="N38" s="159"/>
      <c r="O38" s="160"/>
      <c r="P38" s="59"/>
      <c r="Q38" s="110"/>
      <c r="R38" s="110"/>
      <c r="S38" s="110"/>
      <c r="T38" s="110"/>
      <c r="U38" s="110"/>
      <c r="V38" s="111"/>
      <c r="W38" s="110"/>
      <c r="Y38" s="161"/>
      <c r="Z38" s="161"/>
      <c r="AA38" s="161"/>
      <c r="AB38" s="162"/>
      <c r="AC38" s="162"/>
    </row>
    <row r="39" spans="3:29" s="60" customFormat="1" ht="20.25">
      <c r="F39" s="110"/>
      <c r="G39" s="157" t="s">
        <v>155</v>
      </c>
      <c r="H39" s="109"/>
      <c r="I39" s="109"/>
      <c r="J39" s="109"/>
      <c r="K39" s="202"/>
      <c r="L39" s="202"/>
      <c r="M39" s="202"/>
      <c r="N39" s="202"/>
      <c r="O39" s="158"/>
      <c r="P39" s="58" t="s">
        <v>44</v>
      </c>
      <c r="Q39" s="159"/>
      <c r="R39" s="159"/>
      <c r="S39" s="160"/>
      <c r="T39" s="59" t="s">
        <v>162</v>
      </c>
      <c r="U39" s="110"/>
      <c r="V39" s="110"/>
      <c r="W39" s="110"/>
      <c r="X39" s="111"/>
      <c r="Y39" s="110"/>
      <c r="Z39" s="161"/>
      <c r="AA39" s="161"/>
      <c r="AB39" s="162"/>
      <c r="AC39" s="162"/>
    </row>
    <row r="40" spans="3:29" s="60" customFormat="1" ht="20.25">
      <c r="F40" s="110"/>
      <c r="G40" s="157" t="s">
        <v>156</v>
      </c>
      <c r="H40" s="109"/>
      <c r="I40" s="109"/>
      <c r="J40" s="109"/>
      <c r="K40" s="203"/>
      <c r="L40" s="203"/>
      <c r="M40" s="203"/>
      <c r="N40" s="203"/>
      <c r="O40" s="202" t="s">
        <v>163</v>
      </c>
      <c r="P40" s="202"/>
      <c r="Q40" s="202"/>
      <c r="R40" s="202"/>
      <c r="S40" s="110"/>
      <c r="T40" s="112" t="s">
        <v>164</v>
      </c>
      <c r="U40" s="59" t="s">
        <v>165</v>
      </c>
      <c r="V40" s="110"/>
      <c r="W40" s="110"/>
      <c r="X40" s="111"/>
      <c r="Y40" s="110"/>
      <c r="Z40" s="161"/>
      <c r="AA40" s="161"/>
      <c r="AB40" s="162"/>
      <c r="AC40" s="162"/>
    </row>
    <row r="41" spans="3:29" s="60" customFormat="1" ht="20.25">
      <c r="F41" s="110"/>
      <c r="G41" s="164" t="s">
        <v>159</v>
      </c>
      <c r="H41" s="109"/>
      <c r="I41" s="109"/>
      <c r="J41" s="109"/>
      <c r="K41" s="202"/>
      <c r="L41" s="202"/>
      <c r="M41" s="202"/>
      <c r="N41" s="202"/>
      <c r="O41" s="203" t="s">
        <v>166</v>
      </c>
      <c r="P41" s="203"/>
      <c r="Q41" s="203"/>
      <c r="R41" s="203"/>
      <c r="S41" s="110"/>
      <c r="T41" s="112" t="s">
        <v>167</v>
      </c>
      <c r="U41" s="59" t="s">
        <v>168</v>
      </c>
      <c r="V41" s="110"/>
      <c r="W41" s="110"/>
      <c r="X41" s="111"/>
      <c r="Y41" s="110"/>
    </row>
    <row r="42" spans="3:29" s="60" customFormat="1" ht="20.25">
      <c r="F42" s="110"/>
      <c r="G42" s="109"/>
      <c r="H42" s="109"/>
      <c r="I42" s="109"/>
      <c r="J42" s="109"/>
      <c r="K42" s="229"/>
      <c r="L42" s="229"/>
      <c r="M42" s="112"/>
      <c r="N42" s="165"/>
      <c r="O42" s="202" t="s">
        <v>169</v>
      </c>
      <c r="P42" s="202"/>
      <c r="Q42" s="202"/>
      <c r="R42" s="202"/>
      <c r="S42" s="110"/>
      <c r="T42" s="112" t="s">
        <v>170</v>
      </c>
      <c r="U42" s="59" t="s">
        <v>171</v>
      </c>
      <c r="V42" s="110"/>
      <c r="W42" s="110"/>
      <c r="X42" s="111"/>
      <c r="Y42" s="110"/>
    </row>
    <row r="43" spans="3:29" s="60" customFormat="1" ht="20.25">
      <c r="F43" s="110"/>
      <c r="H43" s="109"/>
      <c r="I43" s="109"/>
      <c r="J43" s="109"/>
      <c r="K43" s="113"/>
      <c r="L43" s="113"/>
      <c r="M43" s="112"/>
      <c r="N43" s="165"/>
      <c r="O43" s="229"/>
      <c r="P43" s="229"/>
      <c r="Q43" s="112"/>
      <c r="R43" s="165"/>
      <c r="S43" s="110"/>
      <c r="T43" s="112" t="s">
        <v>172</v>
      </c>
      <c r="U43" s="59" t="s">
        <v>173</v>
      </c>
      <c r="V43" s="110"/>
      <c r="W43" s="110"/>
      <c r="X43" s="111"/>
      <c r="Y43" s="110"/>
    </row>
    <row r="44" spans="3:29" s="60" customFormat="1" ht="20.25">
      <c r="F44" s="110"/>
      <c r="G44" s="159" t="s">
        <v>152</v>
      </c>
      <c r="H44" s="109"/>
      <c r="I44" s="109"/>
      <c r="J44" s="109"/>
      <c r="K44" s="110"/>
      <c r="L44" s="110"/>
      <c r="M44" s="112"/>
      <c r="N44" s="165"/>
      <c r="O44" s="110"/>
      <c r="P44" s="110"/>
      <c r="Q44" s="114"/>
      <c r="R44" s="110"/>
      <c r="S44" s="110"/>
      <c r="T44" s="110"/>
      <c r="U44" s="110"/>
      <c r="V44" s="111"/>
      <c r="W44" s="110"/>
      <c r="X44" s="61"/>
      <c r="Y44" s="61"/>
    </row>
    <row r="45" spans="3:29" s="60" customFormat="1" ht="20.25">
      <c r="M45" s="105"/>
      <c r="N45" s="166"/>
      <c r="Q45" s="114"/>
      <c r="V45" s="104"/>
    </row>
    <row r="46" spans="3:29" s="60" customFormat="1">
      <c r="V46" s="104"/>
    </row>
    <row r="47" spans="3:29" s="110" customFormat="1" ht="20.25">
      <c r="G47" s="274" t="s">
        <v>40</v>
      </c>
      <c r="H47" s="274"/>
      <c r="I47" s="274"/>
      <c r="J47" s="167"/>
      <c r="K47" s="167"/>
      <c r="L47" s="167"/>
      <c r="M47" s="280" t="s">
        <v>37</v>
      </c>
      <c r="N47" s="280"/>
      <c r="O47" s="280"/>
      <c r="P47" s="280"/>
      <c r="Q47" s="280"/>
      <c r="R47" s="280"/>
      <c r="V47" s="111"/>
      <c r="Z47" s="281" t="s">
        <v>38</v>
      </c>
      <c r="AA47" s="281"/>
      <c r="AB47" s="281"/>
      <c r="AC47" s="281"/>
    </row>
    <row r="48" spans="3:29" s="110" customFormat="1" ht="20.25">
      <c r="G48" s="59" t="s">
        <v>41</v>
      </c>
      <c r="H48" s="59"/>
      <c r="I48" s="59"/>
      <c r="J48" s="168"/>
      <c r="L48" s="279" t="s">
        <v>39</v>
      </c>
      <c r="M48" s="279"/>
      <c r="N48" s="279"/>
      <c r="O48" s="279"/>
      <c r="P48" s="279"/>
      <c r="Q48" s="279"/>
      <c r="R48" s="279"/>
      <c r="S48" s="279"/>
      <c r="T48" s="228"/>
      <c r="U48" s="228"/>
      <c r="V48" s="111"/>
    </row>
    <row r="49" spans="7:29" s="110" customFormat="1" ht="20.25">
      <c r="G49" s="274" t="s">
        <v>42</v>
      </c>
      <c r="H49" s="274"/>
      <c r="I49" s="274"/>
      <c r="J49" s="169"/>
      <c r="M49" s="170"/>
      <c r="N49" s="170"/>
      <c r="O49" s="171"/>
      <c r="P49" s="172"/>
      <c r="Q49" s="170"/>
      <c r="R49" s="170"/>
      <c r="V49" s="111"/>
    </row>
    <row r="50" spans="7:29" s="110" customFormat="1" ht="20.25">
      <c r="G50" s="160"/>
      <c r="H50" s="159"/>
      <c r="I50" s="159"/>
      <c r="J50" s="168"/>
      <c r="M50" s="170"/>
      <c r="N50" s="170"/>
      <c r="O50" s="171"/>
      <c r="P50" s="172"/>
      <c r="Q50" s="170"/>
      <c r="R50" s="170"/>
      <c r="V50" s="111"/>
      <c r="AB50" s="172"/>
      <c r="AC50" s="172"/>
    </row>
    <row r="51" spans="7:29" s="110" customFormat="1" ht="20.25">
      <c r="G51" s="115"/>
      <c r="H51" s="115"/>
      <c r="I51" s="115"/>
      <c r="J51" s="111"/>
      <c r="M51" s="173"/>
      <c r="N51" s="173"/>
      <c r="O51" s="174"/>
      <c r="P51" s="175"/>
      <c r="Q51" s="176"/>
      <c r="R51" s="176"/>
      <c r="V51" s="111"/>
      <c r="Z51" s="175"/>
      <c r="AA51" s="175"/>
      <c r="AB51" s="175"/>
      <c r="AC51" s="177"/>
    </row>
    <row r="52" spans="7:29" s="110" customFormat="1" ht="20.25">
      <c r="G52" s="283" t="s">
        <v>43</v>
      </c>
      <c r="H52" s="283"/>
      <c r="I52" s="283"/>
      <c r="J52" s="111"/>
      <c r="M52" s="275" t="s">
        <v>43</v>
      </c>
      <c r="N52" s="275"/>
      <c r="O52" s="275"/>
      <c r="P52" s="275"/>
      <c r="Q52" s="275"/>
      <c r="R52" s="275"/>
      <c r="V52" s="111"/>
      <c r="Z52" s="276" t="s">
        <v>43</v>
      </c>
      <c r="AA52" s="276"/>
      <c r="AB52" s="276"/>
      <c r="AC52" s="276"/>
    </row>
  </sheetData>
  <mergeCells count="27">
    <mergeCell ref="C11:C13"/>
    <mergeCell ref="F11:H12"/>
    <mergeCell ref="AC11:AC13"/>
    <mergeCell ref="W11:AB12"/>
    <mergeCell ref="O11:S12"/>
    <mergeCell ref="M11:N12"/>
    <mergeCell ref="D11:D13"/>
    <mergeCell ref="E11:E13"/>
    <mergeCell ref="U11:U13"/>
    <mergeCell ref="T11:T13"/>
    <mergeCell ref="J8:AC8"/>
    <mergeCell ref="G3:AC3"/>
    <mergeCell ref="G4:AC4"/>
    <mergeCell ref="G5:AC5"/>
    <mergeCell ref="G7:AC7"/>
    <mergeCell ref="G49:I49"/>
    <mergeCell ref="M52:R52"/>
    <mergeCell ref="Z52:AC52"/>
    <mergeCell ref="L11:L12"/>
    <mergeCell ref="L48:S48"/>
    <mergeCell ref="G47:I47"/>
    <mergeCell ref="M47:R47"/>
    <mergeCell ref="Z47:AC47"/>
    <mergeCell ref="I11:I13"/>
    <mergeCell ref="G52:I52"/>
    <mergeCell ref="K11:K13"/>
    <mergeCell ref="J11:J13"/>
  </mergeCells>
  <printOptions horizontalCentered="1"/>
  <pageMargins left="0.19685039370078741" right="0.19685039370078741" top="0.39370078740157483" bottom="0.19685039370078741" header="0" footer="0"/>
  <pageSetup scale="28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Catalogos2024!$A$5:$A$7</xm:f>
          </x14:formula1>
          <xm:sqref>K15:K18 K33:K35</xm:sqref>
        </x14:dataValidation>
        <x14:dataValidation type="list" allowBlank="1" showInputMessage="1" showErrorMessage="1">
          <x14:formula1>
            <xm:f>INDIRECT(VLOOKUP(K15,Catalogos2024!$A$5:$B$7,2,0))</xm:f>
          </x14:formula1>
          <xm:sqref>L15:L18</xm:sqref>
        </x14:dataValidation>
        <x14:dataValidation type="list" allowBlank="1" showInputMessage="1" showErrorMessage="1">
          <x14:formula1>
            <xm:f>Catalogos2024!$A$11:$A$12</xm:f>
          </x14:formula1>
          <xm:sqref>K21:K24</xm:sqref>
        </x14:dataValidation>
        <x14:dataValidation type="list" allowBlank="1" showInputMessage="1" showErrorMessage="1">
          <x14:formula1>
            <xm:f>INDIRECT(VLOOKUP(K21,Catalogos2024!$A$11:$B$12,2,0))</xm:f>
          </x14:formula1>
          <xm:sqref>L21:L24</xm:sqref>
        </x14:dataValidation>
        <x14:dataValidation type="list" allowBlank="1" showInputMessage="1" showErrorMessage="1">
          <x14:formula1>
            <xm:f>Catalogos2024!$A$17:$A$18</xm:f>
          </x14:formula1>
          <xm:sqref>K27:K30</xm:sqref>
        </x14:dataValidation>
        <x14:dataValidation type="list" allowBlank="1" showInputMessage="1" showErrorMessage="1">
          <x14:formula1>
            <xm:f>INDIRECT(VLOOKUP(K27,Catalogos2024!$A$17:$B$18,2,0))</xm:f>
          </x14:formula1>
          <xm:sqref>L27:L30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showGridLines="0" showRuler="0" zoomScale="40" zoomScaleNormal="40" zoomScaleSheetLayoutView="25" zoomScalePageLayoutView="30" workbookViewId="0">
      <selection activeCell="W28" sqref="W28"/>
    </sheetView>
  </sheetViews>
  <sheetFormatPr baseColWidth="10" defaultRowHeight="15"/>
  <cols>
    <col min="1" max="2" width="1.625" style="57" customWidth="1"/>
    <col min="3" max="3" width="6.375" style="63" customWidth="1"/>
    <col min="4" max="4" width="19.125" style="63" customWidth="1"/>
    <col min="5" max="5" width="11.125" style="63" customWidth="1"/>
    <col min="6" max="6" width="20.5" style="57" customWidth="1"/>
    <col min="7" max="8" width="24.5" style="64" customWidth="1"/>
    <col min="9" max="9" width="16" style="64" customWidth="1"/>
    <col min="10" max="10" width="113.5" style="57" customWidth="1"/>
    <col min="11" max="11" width="15.125" style="57" customWidth="1"/>
    <col min="12" max="12" width="16.75" style="57" customWidth="1"/>
    <col min="13" max="13" width="9.625" style="57" customWidth="1"/>
    <col min="14" max="14" width="13.625" style="57" customWidth="1"/>
    <col min="15" max="16" width="9.625" style="57" customWidth="1"/>
    <col min="17" max="18" width="11.125" style="57" customWidth="1"/>
    <col min="19" max="21" width="17.25" style="57" customWidth="1"/>
    <col min="22" max="22" width="2.75" style="65" customWidth="1"/>
    <col min="23" max="28" width="15.875" style="57" customWidth="1"/>
    <col min="29" max="29" width="13.625" style="57" customWidth="1"/>
    <col min="30" max="30" width="5" style="57" customWidth="1"/>
    <col min="31" max="16384" width="11" style="57"/>
  </cols>
  <sheetData>
    <row r="1" spans="3:29" ht="10.5" customHeight="1"/>
    <row r="2" spans="3:29" s="67" customFormat="1" ht="3.75" customHeight="1"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</row>
    <row r="3" spans="3:29" s="67" customFormat="1" ht="33" customHeight="1">
      <c r="C3" s="66"/>
      <c r="D3" s="66"/>
      <c r="E3" s="66"/>
      <c r="F3" s="68"/>
      <c r="G3" s="285" t="s">
        <v>174</v>
      </c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</row>
    <row r="4" spans="3:29" s="67" customFormat="1" ht="33" customHeight="1">
      <c r="C4" s="66"/>
      <c r="D4" s="66"/>
      <c r="E4" s="66"/>
      <c r="F4" s="69"/>
      <c r="G4" s="286" t="s">
        <v>175</v>
      </c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3:29" s="67" customFormat="1" ht="33" customHeight="1">
      <c r="C5" s="66"/>
      <c r="D5" s="66"/>
      <c r="E5" s="66"/>
      <c r="F5" s="69"/>
      <c r="G5" s="287" t="s">
        <v>149</v>
      </c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3:29" s="67" customFormat="1" ht="24" customHeight="1">
      <c r="C6" s="66"/>
      <c r="D6" s="66"/>
      <c r="E6" s="66"/>
      <c r="F6" s="70"/>
      <c r="G6" s="120"/>
      <c r="H6" s="120"/>
      <c r="I6" s="120"/>
      <c r="J6" s="120"/>
      <c r="K6" s="121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2"/>
      <c r="Y6" s="122"/>
      <c r="Z6" s="122"/>
      <c r="AA6" s="122"/>
      <c r="AB6" s="122"/>
      <c r="AC6" s="122"/>
    </row>
    <row r="7" spans="3:29" s="67" customFormat="1" ht="30">
      <c r="C7" s="66"/>
      <c r="D7" s="66"/>
      <c r="E7" s="66"/>
      <c r="F7" s="69"/>
      <c r="G7" s="287" t="s">
        <v>52</v>
      </c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</row>
    <row r="8" spans="3:29" s="73" customFormat="1">
      <c r="C8" s="65"/>
      <c r="D8" s="65"/>
      <c r="E8" s="65"/>
      <c r="F8" s="65"/>
      <c r="G8" s="65"/>
      <c r="H8" s="65"/>
      <c r="I8" s="65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67"/>
      <c r="Z8" s="67"/>
      <c r="AA8" s="67"/>
      <c r="AB8" s="67"/>
      <c r="AC8" s="67"/>
    </row>
    <row r="9" spans="3:29" ht="23.25">
      <c r="C9" s="74"/>
      <c r="D9" s="74"/>
      <c r="E9" s="74"/>
      <c r="F9" s="75"/>
      <c r="G9" s="123" t="s">
        <v>31</v>
      </c>
      <c r="H9" s="106"/>
      <c r="I9" s="106"/>
      <c r="J9" s="123" t="s">
        <v>17</v>
      </c>
      <c r="K9" s="51"/>
      <c r="L9" s="51"/>
      <c r="M9" s="51"/>
      <c r="N9" s="106"/>
      <c r="O9" s="106"/>
      <c r="X9" s="123" t="s">
        <v>150</v>
      </c>
      <c r="Y9" s="226"/>
      <c r="Z9" s="226"/>
      <c r="AA9" s="226"/>
      <c r="AB9" s="226"/>
      <c r="AC9" s="67"/>
    </row>
    <row r="10" spans="3:29" ht="22.5" customHeight="1" thickBot="1"/>
    <row r="11" spans="3:29" s="108" customFormat="1" ht="22.5" customHeight="1">
      <c r="C11" s="288" t="s">
        <v>0</v>
      </c>
      <c r="D11" s="277" t="s">
        <v>66</v>
      </c>
      <c r="E11" s="277" t="s">
        <v>157</v>
      </c>
      <c r="F11" s="277" t="s">
        <v>1</v>
      </c>
      <c r="G11" s="277"/>
      <c r="H11" s="277"/>
      <c r="I11" s="277" t="s">
        <v>51</v>
      </c>
      <c r="J11" s="277" t="s">
        <v>32</v>
      </c>
      <c r="K11" s="277" t="s">
        <v>34</v>
      </c>
      <c r="L11" s="277" t="s">
        <v>46</v>
      </c>
      <c r="M11" s="277" t="s">
        <v>11</v>
      </c>
      <c r="N11" s="277"/>
      <c r="O11" s="277" t="s">
        <v>153</v>
      </c>
      <c r="P11" s="277"/>
      <c r="Q11" s="277"/>
      <c r="R11" s="277"/>
      <c r="S11" s="291"/>
      <c r="T11" s="300" t="s">
        <v>161</v>
      </c>
      <c r="U11" s="300" t="s">
        <v>160</v>
      </c>
      <c r="V11" s="107"/>
      <c r="W11" s="288" t="s">
        <v>16</v>
      </c>
      <c r="X11" s="277"/>
      <c r="Y11" s="277"/>
      <c r="Z11" s="277"/>
      <c r="AA11" s="277"/>
      <c r="AB11" s="277"/>
      <c r="AC11" s="291" t="s">
        <v>50</v>
      </c>
    </row>
    <row r="12" spans="3:29" s="108" customFormat="1" ht="22.5" customHeight="1">
      <c r="C12" s="289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92"/>
      <c r="T12" s="301"/>
      <c r="U12" s="301"/>
      <c r="V12" s="107"/>
      <c r="W12" s="289"/>
      <c r="X12" s="278"/>
      <c r="Y12" s="278"/>
      <c r="Z12" s="278"/>
      <c r="AA12" s="278"/>
      <c r="AB12" s="278"/>
      <c r="AC12" s="292"/>
    </row>
    <row r="13" spans="3:29" s="108" customFormat="1" ht="53.25" customHeight="1" thickBot="1">
      <c r="C13" s="290"/>
      <c r="D13" s="282"/>
      <c r="E13" s="282"/>
      <c r="F13" s="151" t="s">
        <v>2</v>
      </c>
      <c r="G13" s="151" t="s">
        <v>3</v>
      </c>
      <c r="H13" s="151" t="s">
        <v>4</v>
      </c>
      <c r="I13" s="282"/>
      <c r="J13" s="282"/>
      <c r="K13" s="282"/>
      <c r="L13" s="151" t="s">
        <v>33</v>
      </c>
      <c r="M13" s="151" t="s">
        <v>12</v>
      </c>
      <c r="N13" s="151" t="s">
        <v>13</v>
      </c>
      <c r="O13" s="151" t="s">
        <v>5</v>
      </c>
      <c r="P13" s="151" t="s">
        <v>6</v>
      </c>
      <c r="Q13" s="151" t="s">
        <v>7</v>
      </c>
      <c r="R13" s="151" t="s">
        <v>9</v>
      </c>
      <c r="S13" s="152" t="s">
        <v>10</v>
      </c>
      <c r="T13" s="302"/>
      <c r="U13" s="302"/>
      <c r="V13" s="107"/>
      <c r="W13" s="153" t="s">
        <v>8</v>
      </c>
      <c r="X13" s="151" t="s">
        <v>14</v>
      </c>
      <c r="Y13" s="151" t="s">
        <v>15</v>
      </c>
      <c r="Z13" s="151" t="s">
        <v>60</v>
      </c>
      <c r="AA13" s="178" t="s">
        <v>61</v>
      </c>
      <c r="AB13" s="151" t="s">
        <v>18</v>
      </c>
      <c r="AC13" s="293"/>
    </row>
    <row r="14" spans="3:29" s="65" customFormat="1" ht="44.25" customHeight="1">
      <c r="C14" s="76"/>
      <c r="D14" s="76"/>
      <c r="E14" s="76"/>
      <c r="F14" s="124" t="s">
        <v>36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 spans="3:29" ht="65.099999999999994" customHeight="1">
      <c r="C15" s="77">
        <v>1</v>
      </c>
      <c r="D15" s="77"/>
      <c r="E15" s="77"/>
      <c r="F15" s="77"/>
      <c r="G15" s="78"/>
      <c r="H15" s="78"/>
      <c r="I15" s="79"/>
      <c r="J15" s="79"/>
      <c r="K15" s="79"/>
      <c r="L15" s="80"/>
      <c r="M15" s="81"/>
      <c r="N15" s="81"/>
      <c r="O15" s="81"/>
      <c r="P15" s="81"/>
      <c r="Q15" s="81"/>
      <c r="R15" s="81"/>
      <c r="S15" s="81"/>
      <c r="T15" s="81"/>
      <c r="U15" s="81"/>
      <c r="V15" s="82"/>
      <c r="W15" s="81"/>
      <c r="X15" s="81"/>
      <c r="Y15" s="81"/>
      <c r="Z15" s="81"/>
      <c r="AA15" s="81"/>
      <c r="AB15" s="81">
        <f>SUM(W15:AA15)</f>
        <v>0</v>
      </c>
      <c r="AC15" s="212"/>
    </row>
    <row r="16" spans="3:29" ht="65.099999999999994" customHeight="1">
      <c r="C16" s="77">
        <v>2</v>
      </c>
      <c r="D16" s="77"/>
      <c r="E16" s="77"/>
      <c r="F16" s="77"/>
      <c r="G16" s="78"/>
      <c r="H16" s="78"/>
      <c r="I16" s="79"/>
      <c r="J16" s="79"/>
      <c r="K16" s="79"/>
      <c r="L16" s="80"/>
      <c r="M16" s="81"/>
      <c r="N16" s="81"/>
      <c r="O16" s="84"/>
      <c r="P16" s="84"/>
      <c r="Q16" s="84"/>
      <c r="R16" s="84"/>
      <c r="S16" s="84"/>
      <c r="T16" s="84"/>
      <c r="U16" s="84"/>
      <c r="V16" s="82"/>
      <c r="W16" s="84"/>
      <c r="X16" s="84"/>
      <c r="Y16" s="84"/>
      <c r="Z16" s="84"/>
      <c r="AA16" s="84"/>
      <c r="AB16" s="81">
        <f t="shared" ref="AB16:AB18" si="0">SUM(W16:AA16)</f>
        <v>0</v>
      </c>
      <c r="AC16" s="212"/>
    </row>
    <row r="17" spans="1:29" ht="65.099999999999994" customHeight="1">
      <c r="C17" s="77">
        <v>3</v>
      </c>
      <c r="D17" s="77"/>
      <c r="E17" s="77"/>
      <c r="F17" s="77"/>
      <c r="G17" s="78"/>
      <c r="H17" s="78"/>
      <c r="I17" s="79"/>
      <c r="J17" s="79"/>
      <c r="K17" s="79"/>
      <c r="L17" s="80"/>
      <c r="M17" s="81"/>
      <c r="N17" s="81"/>
      <c r="O17" s="84"/>
      <c r="P17" s="84"/>
      <c r="Q17" s="84"/>
      <c r="R17" s="84"/>
      <c r="S17" s="84"/>
      <c r="T17" s="84"/>
      <c r="U17" s="84"/>
      <c r="V17" s="82"/>
      <c r="W17" s="84"/>
      <c r="X17" s="84"/>
      <c r="Y17" s="84"/>
      <c r="Z17" s="84"/>
      <c r="AA17" s="84"/>
      <c r="AB17" s="81">
        <f t="shared" si="0"/>
        <v>0</v>
      </c>
      <c r="AC17" s="212"/>
    </row>
    <row r="18" spans="1:29" ht="65.099999999999994" customHeight="1" thickBot="1">
      <c r="C18" s="77">
        <v>4</v>
      </c>
      <c r="D18" s="77"/>
      <c r="E18" s="77"/>
      <c r="F18" s="77"/>
      <c r="G18" s="78"/>
      <c r="H18" s="78"/>
      <c r="I18" s="80"/>
      <c r="J18" s="80"/>
      <c r="K18" s="79"/>
      <c r="L18" s="80"/>
      <c r="M18" s="81"/>
      <c r="N18" s="81"/>
      <c r="O18" s="84"/>
      <c r="P18" s="84"/>
      <c r="Q18" s="84"/>
      <c r="R18" s="84"/>
      <c r="S18" s="84"/>
      <c r="T18" s="81"/>
      <c r="U18" s="81"/>
      <c r="V18" s="82"/>
      <c r="W18" s="84"/>
      <c r="X18" s="84"/>
      <c r="Y18" s="84"/>
      <c r="Z18" s="84"/>
      <c r="AA18" s="84"/>
      <c r="AB18" s="81">
        <f t="shared" si="0"/>
        <v>0</v>
      </c>
      <c r="AC18" s="212"/>
    </row>
    <row r="19" spans="1:29" ht="56.25" customHeight="1" thickBot="1">
      <c r="A19" s="85"/>
      <c r="B19" s="85"/>
      <c r="C19" s="85"/>
      <c r="D19" s="85"/>
      <c r="E19" s="85"/>
      <c r="F19" s="85"/>
      <c r="G19" s="85"/>
      <c r="H19" s="85"/>
      <c r="I19" s="85"/>
      <c r="K19" s="86"/>
      <c r="L19" s="87"/>
      <c r="M19" s="116" t="s">
        <v>47</v>
      </c>
      <c r="O19" s="199">
        <f>SUM(O15:O18)</f>
        <v>0</v>
      </c>
      <c r="P19" s="199">
        <f>SUM(P15:P18)</f>
        <v>0</v>
      </c>
      <c r="Q19" s="199">
        <f>SUM(Q15:Q18)</f>
        <v>0</v>
      </c>
      <c r="R19" s="199">
        <f>SUM(R15:R18)</f>
        <v>0</v>
      </c>
      <c r="S19" s="199">
        <f>SUM(S15:S18)</f>
        <v>0</v>
      </c>
      <c r="U19" s="90"/>
      <c r="V19" s="230"/>
      <c r="W19" s="199">
        <f>SUM(W15:W18)</f>
        <v>0</v>
      </c>
      <c r="X19" s="199">
        <f t="shared" ref="X19:AB19" si="1">SUM(X15:X18)</f>
        <v>0</v>
      </c>
      <c r="Y19" s="199">
        <f t="shared" si="1"/>
        <v>0</v>
      </c>
      <c r="Z19" s="199">
        <f t="shared" si="1"/>
        <v>0</v>
      </c>
      <c r="AA19" s="199">
        <f t="shared" si="1"/>
        <v>0</v>
      </c>
      <c r="AB19" s="199">
        <f t="shared" si="1"/>
        <v>0</v>
      </c>
      <c r="AC19" s="213"/>
    </row>
    <row r="20" spans="1:29" s="65" customFormat="1" ht="43.5" customHeight="1">
      <c r="C20" s="76"/>
      <c r="D20" s="76"/>
      <c r="E20" s="76"/>
      <c r="F20" s="124" t="s">
        <v>26</v>
      </c>
      <c r="G20" s="89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209"/>
      <c r="X20" s="209"/>
      <c r="Y20" s="209"/>
      <c r="Z20" s="209"/>
      <c r="AA20" s="209"/>
      <c r="AB20" s="209"/>
      <c r="AC20" s="209"/>
    </row>
    <row r="21" spans="1:29" ht="65.099999999999994" customHeight="1">
      <c r="C21" s="77">
        <v>5</v>
      </c>
      <c r="D21" s="77"/>
      <c r="E21" s="77"/>
      <c r="F21" s="77"/>
      <c r="G21" s="78"/>
      <c r="H21" s="78"/>
      <c r="I21" s="79"/>
      <c r="J21" s="79"/>
      <c r="K21" s="79"/>
      <c r="L21" s="80"/>
      <c r="M21" s="81"/>
      <c r="N21" s="81"/>
      <c r="O21" s="81"/>
      <c r="P21" s="81"/>
      <c r="Q21" s="81"/>
      <c r="R21" s="81"/>
      <c r="S21" s="81"/>
      <c r="T21" s="81"/>
      <c r="U21" s="81"/>
      <c r="V21" s="82"/>
      <c r="W21" s="81"/>
      <c r="X21" s="81"/>
      <c r="Y21" s="81"/>
      <c r="Z21" s="81"/>
      <c r="AA21" s="81"/>
      <c r="AB21" s="81">
        <f>SUM(W21:AA21)</f>
        <v>0</v>
      </c>
      <c r="AC21" s="212"/>
    </row>
    <row r="22" spans="1:29" ht="65.099999999999994" customHeight="1">
      <c r="C22" s="77">
        <v>6</v>
      </c>
      <c r="D22" s="77"/>
      <c r="E22" s="77"/>
      <c r="F22" s="77"/>
      <c r="G22" s="78"/>
      <c r="H22" s="78"/>
      <c r="I22" s="79"/>
      <c r="J22" s="79"/>
      <c r="K22" s="79"/>
      <c r="L22" s="80"/>
      <c r="M22" s="81"/>
      <c r="N22" s="81"/>
      <c r="O22" s="84"/>
      <c r="P22" s="84"/>
      <c r="Q22" s="84"/>
      <c r="R22" s="84"/>
      <c r="S22" s="84"/>
      <c r="T22" s="84"/>
      <c r="U22" s="84"/>
      <c r="V22" s="82"/>
      <c r="W22" s="84"/>
      <c r="X22" s="84"/>
      <c r="Y22" s="84"/>
      <c r="Z22" s="84"/>
      <c r="AA22" s="84"/>
      <c r="AB22" s="81">
        <f t="shared" ref="AB22:AB24" si="2">SUM(W22:AA22)</f>
        <v>0</v>
      </c>
      <c r="AC22" s="212"/>
    </row>
    <row r="23" spans="1:29" ht="65.099999999999994" customHeight="1">
      <c r="C23" s="77">
        <v>7</v>
      </c>
      <c r="D23" s="77"/>
      <c r="E23" s="77"/>
      <c r="F23" s="77"/>
      <c r="G23" s="78"/>
      <c r="H23" s="78"/>
      <c r="I23" s="79"/>
      <c r="J23" s="79"/>
      <c r="K23" s="79"/>
      <c r="L23" s="80"/>
      <c r="M23" s="81"/>
      <c r="N23" s="81"/>
      <c r="O23" s="84"/>
      <c r="P23" s="84"/>
      <c r="Q23" s="84"/>
      <c r="R23" s="84"/>
      <c r="S23" s="84"/>
      <c r="T23" s="84"/>
      <c r="U23" s="84"/>
      <c r="V23" s="82"/>
      <c r="W23" s="84"/>
      <c r="X23" s="84"/>
      <c r="Y23" s="84"/>
      <c r="Z23" s="84"/>
      <c r="AA23" s="84"/>
      <c r="AB23" s="81">
        <f t="shared" si="2"/>
        <v>0</v>
      </c>
      <c r="AC23" s="212"/>
    </row>
    <row r="24" spans="1:29" ht="65.099999999999994" customHeight="1" thickBot="1">
      <c r="C24" s="77">
        <v>8</v>
      </c>
      <c r="D24" s="77"/>
      <c r="E24" s="77"/>
      <c r="F24" s="77"/>
      <c r="G24" s="78"/>
      <c r="H24" s="78"/>
      <c r="I24" s="80"/>
      <c r="J24" s="80"/>
      <c r="K24" s="79"/>
      <c r="L24" s="80"/>
      <c r="M24" s="81"/>
      <c r="N24" s="81"/>
      <c r="O24" s="84"/>
      <c r="P24" s="84"/>
      <c r="Q24" s="84"/>
      <c r="R24" s="84"/>
      <c r="S24" s="84"/>
      <c r="T24" s="81"/>
      <c r="U24" s="81"/>
      <c r="V24" s="82"/>
      <c r="W24" s="81"/>
      <c r="X24" s="81"/>
      <c r="Y24" s="81"/>
      <c r="Z24" s="81"/>
      <c r="AA24" s="81"/>
      <c r="AB24" s="81">
        <f t="shared" si="2"/>
        <v>0</v>
      </c>
      <c r="AC24" s="212"/>
    </row>
    <row r="25" spans="1:29" ht="56.25" customHeight="1" thickBot="1">
      <c r="A25" s="85"/>
      <c r="B25" s="85"/>
      <c r="C25" s="90"/>
      <c r="D25" s="90"/>
      <c r="E25" s="90"/>
      <c r="F25" s="90"/>
      <c r="G25" s="90"/>
      <c r="H25" s="90"/>
      <c r="I25" s="90"/>
      <c r="J25" s="90"/>
      <c r="K25" s="91"/>
      <c r="L25" s="92"/>
      <c r="M25" s="117" t="s">
        <v>48</v>
      </c>
      <c r="O25" s="199">
        <f>SUM(O21:O24)</f>
        <v>0</v>
      </c>
      <c r="P25" s="199">
        <f>SUM(P21:P24)</f>
        <v>0</v>
      </c>
      <c r="Q25" s="199">
        <f>SUM(Q21:Q24)</f>
        <v>0</v>
      </c>
      <c r="R25" s="199">
        <f>SUM(R21:R24)</f>
        <v>0</v>
      </c>
      <c r="S25" s="199">
        <f>SUM(S21:S24)</f>
        <v>0</v>
      </c>
      <c r="U25" s="90"/>
      <c r="V25" s="230"/>
      <c r="W25" s="199">
        <f t="shared" ref="W25:AB25" si="3">SUM(W21:W24)</f>
        <v>0</v>
      </c>
      <c r="X25" s="199">
        <f t="shared" si="3"/>
        <v>0</v>
      </c>
      <c r="Y25" s="199">
        <f t="shared" si="3"/>
        <v>0</v>
      </c>
      <c r="Z25" s="199">
        <f t="shared" si="3"/>
        <v>0</v>
      </c>
      <c r="AA25" s="199">
        <f t="shared" si="3"/>
        <v>0</v>
      </c>
      <c r="AB25" s="199">
        <f t="shared" si="3"/>
        <v>0</v>
      </c>
      <c r="AC25" s="214"/>
    </row>
    <row r="26" spans="1:29" s="65" customFormat="1" ht="48" customHeight="1">
      <c r="C26" s="76"/>
      <c r="D26" s="76"/>
      <c r="E26" s="76"/>
      <c r="F26" s="124" t="s">
        <v>27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209"/>
      <c r="X26" s="209"/>
      <c r="Y26" s="209"/>
      <c r="Z26" s="209"/>
      <c r="AA26" s="209"/>
      <c r="AB26" s="209"/>
      <c r="AC26" s="209"/>
    </row>
    <row r="27" spans="1:29" ht="65.099999999999994" customHeight="1">
      <c r="C27" s="77">
        <v>9</v>
      </c>
      <c r="D27" s="77"/>
      <c r="E27" s="77"/>
      <c r="F27" s="77"/>
      <c r="G27" s="78"/>
      <c r="H27" s="78"/>
      <c r="I27" s="79"/>
      <c r="J27" s="79"/>
      <c r="K27" s="79"/>
      <c r="L27" s="80"/>
      <c r="M27" s="81"/>
      <c r="N27" s="81"/>
      <c r="O27" s="81"/>
      <c r="P27" s="81"/>
      <c r="Q27" s="81"/>
      <c r="R27" s="81"/>
      <c r="S27" s="81"/>
      <c r="T27" s="81"/>
      <c r="U27" s="81"/>
      <c r="V27" s="82"/>
      <c r="W27" s="81"/>
      <c r="X27" s="81"/>
      <c r="Y27" s="81"/>
      <c r="Z27" s="81"/>
      <c r="AA27" s="81"/>
      <c r="AB27" s="81">
        <f>SUM(W27:AA27)</f>
        <v>0</v>
      </c>
      <c r="AC27" s="212"/>
    </row>
    <row r="28" spans="1:29" ht="65.099999999999994" customHeight="1">
      <c r="C28" s="77">
        <v>10</v>
      </c>
      <c r="D28" s="77"/>
      <c r="E28" s="77"/>
      <c r="F28" s="77"/>
      <c r="G28" s="78"/>
      <c r="H28" s="78"/>
      <c r="I28" s="79"/>
      <c r="J28" s="79"/>
      <c r="K28" s="79"/>
      <c r="L28" s="80"/>
      <c r="M28" s="81"/>
      <c r="N28" s="81"/>
      <c r="O28" s="84"/>
      <c r="P28" s="84"/>
      <c r="Q28" s="84"/>
      <c r="R28" s="84"/>
      <c r="S28" s="84"/>
      <c r="T28" s="84"/>
      <c r="U28" s="84"/>
      <c r="V28" s="82"/>
      <c r="W28" s="84"/>
      <c r="X28" s="84"/>
      <c r="Y28" s="84"/>
      <c r="Z28" s="84"/>
      <c r="AA28" s="84"/>
      <c r="AB28" s="81">
        <f t="shared" ref="AB28:AB30" si="4">SUM(W28:AA28)</f>
        <v>0</v>
      </c>
      <c r="AC28" s="212"/>
    </row>
    <row r="29" spans="1:29" ht="65.099999999999994" customHeight="1">
      <c r="C29" s="77">
        <v>11</v>
      </c>
      <c r="D29" s="77"/>
      <c r="E29" s="77"/>
      <c r="F29" s="77"/>
      <c r="G29" s="78"/>
      <c r="H29" s="78"/>
      <c r="I29" s="79"/>
      <c r="J29" s="79"/>
      <c r="K29" s="79"/>
      <c r="L29" s="80"/>
      <c r="M29" s="81"/>
      <c r="N29" s="81"/>
      <c r="O29" s="84"/>
      <c r="P29" s="84"/>
      <c r="Q29" s="84"/>
      <c r="R29" s="84"/>
      <c r="S29" s="84"/>
      <c r="T29" s="84"/>
      <c r="U29" s="84"/>
      <c r="V29" s="82"/>
      <c r="W29" s="84"/>
      <c r="X29" s="84"/>
      <c r="Y29" s="84"/>
      <c r="Z29" s="84"/>
      <c r="AA29" s="84"/>
      <c r="AB29" s="81">
        <f t="shared" si="4"/>
        <v>0</v>
      </c>
      <c r="AC29" s="212"/>
    </row>
    <row r="30" spans="1:29" ht="65.099999999999994" customHeight="1" thickBot="1">
      <c r="C30" s="77">
        <v>12</v>
      </c>
      <c r="D30" s="77"/>
      <c r="E30" s="77"/>
      <c r="F30" s="77"/>
      <c r="G30" s="78"/>
      <c r="H30" s="78"/>
      <c r="I30" s="80"/>
      <c r="J30" s="80"/>
      <c r="K30" s="79"/>
      <c r="L30" s="80"/>
      <c r="M30" s="81"/>
      <c r="N30" s="81"/>
      <c r="O30" s="84"/>
      <c r="P30" s="84"/>
      <c r="Q30" s="84"/>
      <c r="R30" s="84"/>
      <c r="S30" s="84"/>
      <c r="T30" s="81"/>
      <c r="U30" s="81"/>
      <c r="V30" s="82"/>
      <c r="W30" s="84"/>
      <c r="X30" s="84"/>
      <c r="Y30" s="84"/>
      <c r="Z30" s="84"/>
      <c r="AA30" s="84"/>
      <c r="AB30" s="81">
        <f t="shared" si="4"/>
        <v>0</v>
      </c>
      <c r="AC30" s="212"/>
    </row>
    <row r="31" spans="1:29" ht="56.25" customHeight="1" thickBot="1">
      <c r="A31" s="85"/>
      <c r="B31" s="85"/>
      <c r="C31" s="85"/>
      <c r="D31" s="85"/>
      <c r="E31" s="85"/>
      <c r="F31" s="85"/>
      <c r="G31" s="85"/>
      <c r="H31" s="85"/>
      <c r="I31" s="85"/>
      <c r="K31" s="86"/>
      <c r="L31" s="87"/>
      <c r="M31" s="116" t="s">
        <v>49</v>
      </c>
      <c r="O31" s="199">
        <f>SUM(O27:O30)</f>
        <v>0</v>
      </c>
      <c r="P31" s="199">
        <f>SUM(P27:P30)</f>
        <v>0</v>
      </c>
      <c r="Q31" s="199">
        <f>SUM(Q27:Q30)</f>
        <v>0</v>
      </c>
      <c r="R31" s="199">
        <f>SUM(R27:R30)</f>
        <v>0</v>
      </c>
      <c r="S31" s="199">
        <f>SUM(S27:S30)</f>
        <v>0</v>
      </c>
      <c r="U31" s="90"/>
      <c r="V31" s="230"/>
      <c r="W31" s="199">
        <f>SUM(W27:W30)</f>
        <v>0</v>
      </c>
      <c r="X31" s="199">
        <f t="shared" ref="X31" si="5">SUM(X27:X30)</f>
        <v>0</v>
      </c>
      <c r="Y31" s="199">
        <f t="shared" ref="Y31" si="6">SUM(Y27:Y30)</f>
        <v>0</v>
      </c>
      <c r="Z31" s="199">
        <f t="shared" ref="Z31:AA31" si="7">SUM(Z27:Z30)</f>
        <v>0</v>
      </c>
      <c r="AA31" s="199">
        <f t="shared" si="7"/>
        <v>0</v>
      </c>
      <c r="AB31" s="199">
        <f t="shared" ref="AB31" si="8">SUM(AB27:AB30)</f>
        <v>0</v>
      </c>
      <c r="AC31" s="213"/>
    </row>
    <row r="32" spans="1:29" s="65" customFormat="1" ht="15.75">
      <c r="C32" s="76"/>
      <c r="D32" s="76"/>
      <c r="E32" s="76"/>
      <c r="F32" s="6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209"/>
      <c r="X32" s="209"/>
      <c r="Y32" s="209"/>
      <c r="Z32" s="209"/>
      <c r="AA32" s="209"/>
      <c r="AB32" s="209"/>
      <c r="AC32" s="209"/>
    </row>
    <row r="33" spans="3:29" s="94" customFormat="1" ht="35.1" customHeight="1">
      <c r="C33" s="77">
        <v>13</v>
      </c>
      <c r="D33" s="77"/>
      <c r="E33" s="77"/>
      <c r="F33" s="77"/>
      <c r="G33" s="78"/>
      <c r="H33" s="78"/>
      <c r="I33" s="78"/>
      <c r="J33" s="118" t="s">
        <v>24</v>
      </c>
      <c r="K33" s="79"/>
      <c r="L33" s="80"/>
      <c r="M33" s="80" t="s">
        <v>142</v>
      </c>
      <c r="N33" s="81"/>
      <c r="O33" s="200"/>
      <c r="P33" s="200"/>
      <c r="Q33" s="200"/>
      <c r="R33" s="200"/>
      <c r="S33" s="200"/>
      <c r="T33" s="111"/>
      <c r="U33" s="111"/>
      <c r="V33" s="231"/>
      <c r="W33" s="210"/>
      <c r="X33" s="210"/>
      <c r="Y33" s="210"/>
      <c r="Z33" s="210"/>
      <c r="AA33" s="210"/>
      <c r="AB33" s="81">
        <f t="shared" ref="AB33:AB35" si="9">SUM(W33:AA33)</f>
        <v>0</v>
      </c>
      <c r="AC33" s="212"/>
    </row>
    <row r="34" spans="3:29" s="94" customFormat="1" ht="35.1" customHeight="1">
      <c r="C34" s="77">
        <v>14</v>
      </c>
      <c r="D34" s="77"/>
      <c r="E34" s="77"/>
      <c r="F34" s="77"/>
      <c r="G34" s="78"/>
      <c r="H34" s="78"/>
      <c r="I34" s="78"/>
      <c r="J34" s="118" t="s">
        <v>25</v>
      </c>
      <c r="K34" s="79"/>
      <c r="L34" s="80"/>
      <c r="M34" s="80" t="s">
        <v>83</v>
      </c>
      <c r="N34" s="81"/>
      <c r="O34" s="200"/>
      <c r="P34" s="200"/>
      <c r="Q34" s="200"/>
      <c r="R34" s="200"/>
      <c r="S34" s="200"/>
      <c r="T34" s="111"/>
      <c r="U34" s="111"/>
      <c r="V34" s="231"/>
      <c r="W34" s="210"/>
      <c r="X34" s="210"/>
      <c r="Y34" s="210"/>
      <c r="Z34" s="210"/>
      <c r="AA34" s="210"/>
      <c r="AB34" s="81">
        <f t="shared" si="9"/>
        <v>0</v>
      </c>
      <c r="AC34" s="212"/>
    </row>
    <row r="35" spans="3:29" ht="35.1" customHeight="1">
      <c r="C35" s="95">
        <v>15</v>
      </c>
      <c r="D35" s="95"/>
      <c r="E35" s="95"/>
      <c r="F35" s="95"/>
      <c r="G35" s="96"/>
      <c r="H35" s="96"/>
      <c r="I35" s="96"/>
      <c r="J35" s="119" t="s">
        <v>45</v>
      </c>
      <c r="K35" s="79"/>
      <c r="L35" s="80"/>
      <c r="M35" s="97"/>
      <c r="N35" s="97"/>
      <c r="O35" s="201"/>
      <c r="P35" s="201"/>
      <c r="Q35" s="201"/>
      <c r="R35" s="201"/>
      <c r="S35" s="201"/>
      <c r="T35" s="111"/>
      <c r="U35" s="111"/>
      <c r="V35" s="232"/>
      <c r="W35" s="211"/>
      <c r="X35" s="211"/>
      <c r="Y35" s="211"/>
      <c r="Z35" s="211"/>
      <c r="AA35" s="211"/>
      <c r="AB35" s="81">
        <f t="shared" si="9"/>
        <v>0</v>
      </c>
      <c r="AC35" s="212"/>
    </row>
    <row r="36" spans="3:29" ht="23.25" customHeight="1">
      <c r="C36" s="52"/>
      <c r="D36" s="52"/>
      <c r="E36" s="52"/>
      <c r="F36" s="52"/>
      <c r="G36" s="53"/>
      <c r="H36" s="53"/>
      <c r="I36" s="53"/>
      <c r="J36" s="54"/>
      <c r="K36" s="54"/>
      <c r="L36" s="54"/>
      <c r="M36" s="54"/>
      <c r="N36" s="54"/>
      <c r="O36" s="55">
        <f>O19+O25+O31</f>
        <v>0</v>
      </c>
      <c r="P36" s="55">
        <f t="shared" ref="P36:S36" si="10">SUM(P33:P35)+P19+P25+P31</f>
        <v>0</v>
      </c>
      <c r="Q36" s="55">
        <f t="shared" si="10"/>
        <v>0</v>
      </c>
      <c r="R36" s="55">
        <f t="shared" si="10"/>
        <v>0</v>
      </c>
      <c r="S36" s="55">
        <f t="shared" si="10"/>
        <v>0</v>
      </c>
      <c r="T36" s="111"/>
      <c r="U36" s="111"/>
      <c r="V36" s="233"/>
      <c r="W36" s="55">
        <f>SUM(W33:W35)+W19+W25+W31</f>
        <v>0</v>
      </c>
      <c r="X36" s="55">
        <f t="shared" ref="X36:AB36" si="11">SUM(X33:X35)+X19+X25+X31</f>
        <v>0</v>
      </c>
      <c r="Y36" s="55">
        <f t="shared" si="11"/>
        <v>0</v>
      </c>
      <c r="Z36" s="55">
        <f t="shared" si="11"/>
        <v>0</v>
      </c>
      <c r="AA36" s="55">
        <f t="shared" si="11"/>
        <v>0</v>
      </c>
      <c r="AB36" s="55">
        <f t="shared" si="11"/>
        <v>0</v>
      </c>
      <c r="AC36" s="215"/>
    </row>
    <row r="37" spans="3:29" s="73" customFormat="1" ht="21" customHeight="1">
      <c r="C37" s="98"/>
      <c r="D37" s="98"/>
      <c r="E37" s="98"/>
      <c r="F37" s="98"/>
      <c r="G37" s="99"/>
      <c r="H37" s="99"/>
      <c r="I37" s="99"/>
      <c r="J37" s="100"/>
      <c r="K37" s="100"/>
      <c r="L37" s="100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2"/>
      <c r="X37" s="102"/>
      <c r="Y37" s="102"/>
      <c r="Z37" s="102"/>
      <c r="AA37" s="102"/>
      <c r="AB37" s="102"/>
      <c r="AC37" s="103"/>
    </row>
    <row r="38" spans="3:29" s="60" customFormat="1" ht="20.25">
      <c r="F38" s="156" t="s">
        <v>67</v>
      </c>
      <c r="G38" s="157" t="s">
        <v>154</v>
      </c>
      <c r="H38" s="109"/>
      <c r="I38" s="158"/>
      <c r="J38" s="158"/>
      <c r="K38" s="158"/>
      <c r="L38" s="58"/>
      <c r="M38" s="159"/>
      <c r="N38" s="159"/>
      <c r="O38" s="160"/>
      <c r="P38" s="59"/>
      <c r="Q38" s="110"/>
      <c r="R38" s="110"/>
      <c r="S38" s="110"/>
      <c r="T38" s="110"/>
      <c r="U38" s="110"/>
      <c r="V38" s="111"/>
      <c r="W38" s="110"/>
      <c r="Y38" s="161"/>
      <c r="Z38" s="161"/>
      <c r="AA38" s="161"/>
      <c r="AB38" s="162"/>
      <c r="AC38" s="162"/>
    </row>
    <row r="39" spans="3:29" s="60" customFormat="1" ht="20.25">
      <c r="F39" s="110"/>
      <c r="G39" s="157" t="s">
        <v>155</v>
      </c>
      <c r="H39" s="109"/>
      <c r="I39" s="109"/>
      <c r="J39" s="109"/>
      <c r="N39" s="202"/>
      <c r="O39" s="158"/>
      <c r="P39" s="58" t="s">
        <v>44</v>
      </c>
      <c r="Q39" s="159"/>
      <c r="R39" s="159"/>
      <c r="S39" s="160"/>
      <c r="T39" s="59" t="s">
        <v>162</v>
      </c>
      <c r="U39" s="110"/>
      <c r="V39" s="111"/>
      <c r="W39" s="110"/>
      <c r="X39" s="61"/>
      <c r="Y39" s="163"/>
      <c r="Z39" s="161"/>
      <c r="AA39" s="161"/>
      <c r="AB39" s="162"/>
      <c r="AC39" s="162"/>
    </row>
    <row r="40" spans="3:29" s="60" customFormat="1" ht="20.25">
      <c r="F40" s="110"/>
      <c r="G40" s="157" t="s">
        <v>156</v>
      </c>
      <c r="H40" s="109"/>
      <c r="I40" s="109"/>
      <c r="J40" s="109"/>
      <c r="N40" s="203"/>
      <c r="O40" s="202" t="s">
        <v>163</v>
      </c>
      <c r="P40" s="202"/>
      <c r="Q40" s="202"/>
      <c r="R40" s="202"/>
      <c r="S40" s="110"/>
      <c r="T40" s="112" t="s">
        <v>164</v>
      </c>
      <c r="U40" s="59" t="s">
        <v>165</v>
      </c>
      <c r="V40" s="111"/>
      <c r="W40" s="110"/>
      <c r="X40" s="61"/>
      <c r="Y40" s="163"/>
      <c r="Z40" s="161"/>
      <c r="AA40" s="161"/>
      <c r="AB40" s="162"/>
      <c r="AC40" s="162"/>
    </row>
    <row r="41" spans="3:29" s="60" customFormat="1" ht="20.25">
      <c r="F41" s="110"/>
      <c r="G41" s="164" t="s">
        <v>159</v>
      </c>
      <c r="H41" s="109"/>
      <c r="I41" s="109"/>
      <c r="J41" s="109"/>
      <c r="N41" s="202"/>
      <c r="O41" s="203" t="s">
        <v>166</v>
      </c>
      <c r="P41" s="203"/>
      <c r="Q41" s="203"/>
      <c r="R41" s="203"/>
      <c r="S41" s="110"/>
      <c r="T41" s="112" t="s">
        <v>167</v>
      </c>
      <c r="U41" s="59" t="s">
        <v>168</v>
      </c>
      <c r="V41" s="111"/>
      <c r="W41" s="110"/>
      <c r="X41" s="61"/>
      <c r="Y41" s="61"/>
    </row>
    <row r="42" spans="3:29" s="60" customFormat="1" ht="20.25">
      <c r="F42" s="110"/>
      <c r="G42" s="109"/>
      <c r="H42" s="109"/>
      <c r="I42" s="109"/>
      <c r="J42" s="109"/>
      <c r="N42" s="165"/>
      <c r="O42" s="202" t="s">
        <v>169</v>
      </c>
      <c r="P42" s="202"/>
      <c r="Q42" s="202"/>
      <c r="R42" s="202"/>
      <c r="S42" s="110"/>
      <c r="T42" s="112" t="s">
        <v>170</v>
      </c>
      <c r="U42" s="59" t="s">
        <v>171</v>
      </c>
      <c r="V42" s="111"/>
      <c r="W42" s="110"/>
      <c r="X42" s="61"/>
      <c r="Y42" s="61"/>
    </row>
    <row r="43" spans="3:29" s="60" customFormat="1" ht="20.25">
      <c r="F43" s="110"/>
      <c r="H43" s="109"/>
      <c r="I43" s="109"/>
      <c r="J43" s="109"/>
      <c r="K43" s="113"/>
      <c r="L43" s="113"/>
      <c r="M43" s="112"/>
      <c r="N43" s="165"/>
      <c r="O43" s="110"/>
      <c r="P43" s="112"/>
      <c r="Q43" s="59"/>
      <c r="R43" s="110"/>
      <c r="S43" s="110"/>
      <c r="T43" s="112" t="s">
        <v>172</v>
      </c>
      <c r="U43" s="59" t="s">
        <v>173</v>
      </c>
      <c r="V43" s="111"/>
      <c r="W43" s="110"/>
      <c r="X43" s="61"/>
      <c r="Y43" s="61"/>
    </row>
    <row r="44" spans="3:29" s="60" customFormat="1" ht="20.25">
      <c r="F44" s="110"/>
      <c r="G44" s="159" t="s">
        <v>152</v>
      </c>
      <c r="H44" s="109"/>
      <c r="I44" s="109"/>
      <c r="J44" s="109"/>
      <c r="K44" s="110"/>
      <c r="L44" s="110"/>
      <c r="M44" s="112"/>
      <c r="N44" s="165"/>
      <c r="O44" s="110"/>
      <c r="P44" s="110"/>
      <c r="Q44" s="114"/>
      <c r="R44" s="110"/>
      <c r="S44" s="110"/>
      <c r="T44" s="110"/>
      <c r="U44" s="110"/>
      <c r="V44" s="111"/>
      <c r="W44" s="110"/>
      <c r="X44" s="61"/>
      <c r="Y44" s="61"/>
    </row>
    <row r="45" spans="3:29" s="60" customFormat="1" ht="20.25">
      <c r="M45" s="105"/>
      <c r="N45" s="166"/>
      <c r="Q45" s="114"/>
      <c r="V45" s="104"/>
    </row>
    <row r="46" spans="3:29" s="60" customFormat="1">
      <c r="V46" s="104"/>
    </row>
    <row r="47" spans="3:29" s="110" customFormat="1" ht="20.25">
      <c r="G47" s="274" t="s">
        <v>40</v>
      </c>
      <c r="H47" s="274"/>
      <c r="I47" s="274"/>
      <c r="J47" s="167"/>
      <c r="K47" s="167"/>
      <c r="L47" s="167"/>
      <c r="M47" s="280" t="s">
        <v>37</v>
      </c>
      <c r="N47" s="280"/>
      <c r="O47" s="280"/>
      <c r="P47" s="280"/>
      <c r="Q47" s="280"/>
      <c r="R47" s="280"/>
      <c r="V47" s="111"/>
      <c r="Z47" s="281" t="s">
        <v>38</v>
      </c>
      <c r="AA47" s="281"/>
      <c r="AB47" s="281"/>
      <c r="AC47" s="281"/>
    </row>
    <row r="48" spans="3:29" s="110" customFormat="1" ht="20.25">
      <c r="G48" s="59" t="s">
        <v>41</v>
      </c>
      <c r="H48" s="59"/>
      <c r="I48" s="59"/>
      <c r="J48" s="168"/>
      <c r="L48" s="279" t="s">
        <v>39</v>
      </c>
      <c r="M48" s="279"/>
      <c r="N48" s="279"/>
      <c r="O48" s="279"/>
      <c r="P48" s="279"/>
      <c r="Q48" s="279"/>
      <c r="R48" s="279"/>
      <c r="S48" s="279"/>
      <c r="T48" s="228"/>
      <c r="U48" s="228"/>
      <c r="V48" s="111"/>
    </row>
    <row r="49" spans="7:29" s="110" customFormat="1" ht="20.25">
      <c r="G49" s="274" t="s">
        <v>42</v>
      </c>
      <c r="H49" s="274"/>
      <c r="I49" s="274"/>
      <c r="J49" s="169"/>
      <c r="M49" s="170"/>
      <c r="N49" s="170"/>
      <c r="O49" s="171"/>
      <c r="P49" s="172"/>
      <c r="Q49" s="170"/>
      <c r="R49" s="170"/>
      <c r="V49" s="111"/>
    </row>
    <row r="50" spans="7:29" s="110" customFormat="1" ht="20.25">
      <c r="G50" s="160"/>
      <c r="H50" s="159"/>
      <c r="I50" s="159"/>
      <c r="J50" s="168"/>
      <c r="M50" s="170"/>
      <c r="N50" s="170"/>
      <c r="O50" s="171"/>
      <c r="P50" s="172"/>
      <c r="Q50" s="170"/>
      <c r="R50" s="170"/>
      <c r="V50" s="111"/>
      <c r="AB50" s="172"/>
      <c r="AC50" s="172"/>
    </row>
    <row r="51" spans="7:29" s="110" customFormat="1" ht="20.25">
      <c r="G51" s="115"/>
      <c r="H51" s="115"/>
      <c r="I51" s="115"/>
      <c r="J51" s="111"/>
      <c r="M51" s="173"/>
      <c r="N51" s="173"/>
      <c r="O51" s="174"/>
      <c r="P51" s="175"/>
      <c r="Q51" s="176"/>
      <c r="R51" s="176"/>
      <c r="V51" s="111"/>
      <c r="Z51" s="175"/>
      <c r="AA51" s="175"/>
      <c r="AB51" s="175"/>
      <c r="AC51" s="177"/>
    </row>
    <row r="52" spans="7:29" s="110" customFormat="1" ht="20.25">
      <c r="G52" s="283" t="s">
        <v>43</v>
      </c>
      <c r="H52" s="283"/>
      <c r="I52" s="283"/>
      <c r="J52" s="111"/>
      <c r="M52" s="275" t="s">
        <v>43</v>
      </c>
      <c r="N52" s="275"/>
      <c r="O52" s="275"/>
      <c r="P52" s="275"/>
      <c r="Q52" s="275"/>
      <c r="R52" s="275"/>
      <c r="V52" s="111"/>
      <c r="Z52" s="276" t="s">
        <v>43</v>
      </c>
      <c r="AA52" s="276"/>
      <c r="AB52" s="276"/>
      <c r="AC52" s="276"/>
    </row>
    <row r="53" spans="7:29" ht="48" customHeight="1"/>
  </sheetData>
  <mergeCells count="26">
    <mergeCell ref="C11:C13"/>
    <mergeCell ref="F11:H12"/>
    <mergeCell ref="I11:I13"/>
    <mergeCell ref="J11:J13"/>
    <mergeCell ref="K11:K13"/>
    <mergeCell ref="D11:D13"/>
    <mergeCell ref="E11:E13"/>
    <mergeCell ref="G3:AC3"/>
    <mergeCell ref="G4:AC4"/>
    <mergeCell ref="G5:AC5"/>
    <mergeCell ref="G7:AC7"/>
    <mergeCell ref="L11:L12"/>
    <mergeCell ref="M11:N12"/>
    <mergeCell ref="O11:S12"/>
    <mergeCell ref="W11:AB12"/>
    <mergeCell ref="AC11:AC13"/>
    <mergeCell ref="T11:T13"/>
    <mergeCell ref="U11:U13"/>
    <mergeCell ref="G49:I49"/>
    <mergeCell ref="M52:R52"/>
    <mergeCell ref="Z52:AC52"/>
    <mergeCell ref="G52:I52"/>
    <mergeCell ref="G47:I47"/>
    <mergeCell ref="M47:R47"/>
    <mergeCell ref="Z47:AC47"/>
    <mergeCell ref="L48:S48"/>
  </mergeCells>
  <printOptions horizontalCentered="1"/>
  <pageMargins left="0.19685039370078741" right="0.19685039370078741" top="0.39370078740157483" bottom="0.19685039370078741" header="0" footer="0"/>
  <pageSetup scale="28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>
          <x14:formula1>
            <xm:f>Catalogos2024!$A$5:$A$7</xm:f>
          </x14:formula1>
          <xm:sqref>K15:K18 K33:K35</xm:sqref>
        </x14:dataValidation>
        <x14:dataValidation type="list" allowBlank="1" showInputMessage="1" showErrorMessage="1">
          <x14:formula1>
            <xm:f>INDIRECT(VLOOKUP(K15,Catalogos2024!$A$5:$B$7,2,0))</xm:f>
          </x14:formula1>
          <xm:sqref>L15:L18</xm:sqref>
        </x14:dataValidation>
        <x14:dataValidation type="list" allowBlank="1" showInputMessage="1" showErrorMessage="1">
          <x14:formula1>
            <xm:f>Catalogos2024!$A$11:$A$12</xm:f>
          </x14:formula1>
          <xm:sqref>K21:K24</xm:sqref>
        </x14:dataValidation>
        <x14:dataValidation type="list" allowBlank="1" showInputMessage="1" showErrorMessage="1">
          <x14:formula1>
            <xm:f>INDIRECT(VLOOKUP(K21,Catalogos2024!$A$11:$B$12,2,0))</xm:f>
          </x14:formula1>
          <xm:sqref>L21:L24</xm:sqref>
        </x14:dataValidation>
        <x14:dataValidation type="list" allowBlank="1" showInputMessage="1" showErrorMessage="1">
          <x14:formula1>
            <xm:f>Catalogos2024!$A$17:$A$18</xm:f>
          </x14:formula1>
          <xm:sqref>K27:K30</xm:sqref>
        </x14:dataValidation>
        <x14:dataValidation type="list" allowBlank="1" showInputMessage="1" showErrorMessage="1">
          <x14:formula1>
            <xm:f>INDIRECT(VLOOKUP(K27,Catalogos2024!$A$17:$B$18,2,0))</xm:f>
          </x14:formula1>
          <xm:sqref>L27:L30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showGridLines="0" zoomScale="90" zoomScaleNormal="90" workbookViewId="0"/>
  </sheetViews>
  <sheetFormatPr baseColWidth="10" defaultRowHeight="15"/>
  <cols>
    <col min="1" max="1" width="24.25" style="181" customWidth="1"/>
    <col min="2" max="2" width="8.625" style="181" customWidth="1"/>
    <col min="3" max="3" width="4.75" style="181" customWidth="1"/>
    <col min="4" max="4" width="34.5" style="181" customWidth="1"/>
    <col min="5" max="5" width="10.125" style="181" customWidth="1"/>
    <col min="6" max="7" width="9.375" style="181" customWidth="1"/>
    <col min="8" max="8" width="38" style="181" customWidth="1"/>
    <col min="9" max="9" width="11" style="181"/>
    <col min="10" max="10" width="8.75" style="181" bestFit="1" customWidth="1"/>
    <col min="11" max="11" width="26.875" style="181" customWidth="1"/>
    <col min="12" max="12" width="9" style="181" customWidth="1"/>
    <col min="13" max="13" width="6.25" style="181" customWidth="1"/>
    <col min="14" max="16384" width="11" style="181"/>
  </cols>
  <sheetData>
    <row r="1" spans="1:13" ht="24">
      <c r="A1" s="179" t="s">
        <v>68</v>
      </c>
      <c r="B1" s="179"/>
      <c r="C1" s="180"/>
      <c r="D1" s="179" t="s">
        <v>69</v>
      </c>
      <c r="E1" s="179"/>
      <c r="F1" s="179"/>
      <c r="G1" s="179"/>
      <c r="H1" s="179"/>
      <c r="I1" s="179"/>
      <c r="J1" s="179"/>
      <c r="K1" s="179"/>
      <c r="L1" s="179"/>
      <c r="M1" s="180"/>
    </row>
    <row r="2" spans="1:13" ht="18">
      <c r="A2" s="182"/>
      <c r="B2" s="182"/>
      <c r="C2" s="183"/>
      <c r="D2" s="182"/>
      <c r="E2" s="182"/>
      <c r="F2" s="182"/>
      <c r="G2" s="182"/>
      <c r="H2" s="182"/>
      <c r="I2" s="182"/>
      <c r="J2" s="182"/>
      <c r="K2" s="182"/>
      <c r="L2" s="182"/>
      <c r="M2" s="183"/>
    </row>
    <row r="3" spans="1:13">
      <c r="A3" s="184"/>
      <c r="B3" s="185"/>
      <c r="C3" s="183"/>
      <c r="D3" s="186" t="s">
        <v>113</v>
      </c>
      <c r="F3" s="184"/>
      <c r="H3" s="186" t="s">
        <v>115</v>
      </c>
      <c r="K3" s="186" t="s">
        <v>117</v>
      </c>
      <c r="M3" s="183"/>
    </row>
    <row r="4" spans="1:13" ht="15.75" thickBot="1">
      <c r="A4" s="187" t="s">
        <v>70</v>
      </c>
      <c r="B4" s="188" t="s">
        <v>71</v>
      </c>
      <c r="C4" s="183"/>
      <c r="D4" s="189" t="s">
        <v>114</v>
      </c>
      <c r="E4" s="188" t="s">
        <v>71</v>
      </c>
      <c r="H4" s="189" t="s">
        <v>116</v>
      </c>
      <c r="I4" s="188" t="s">
        <v>71</v>
      </c>
      <c r="J4" s="190"/>
      <c r="K4" s="189" t="s">
        <v>118</v>
      </c>
      <c r="L4" s="188" t="s">
        <v>71</v>
      </c>
      <c r="M4" s="183"/>
    </row>
    <row r="5" spans="1:13">
      <c r="A5" s="191" t="s">
        <v>96</v>
      </c>
      <c r="B5" s="192" t="s">
        <v>114</v>
      </c>
      <c r="C5" s="183"/>
      <c r="D5" s="193" t="s">
        <v>99</v>
      </c>
      <c r="E5" s="194" t="s">
        <v>72</v>
      </c>
      <c r="F5" s="185"/>
      <c r="G5" s="185"/>
      <c r="H5" s="193" t="s">
        <v>99</v>
      </c>
      <c r="I5" s="194" t="s">
        <v>72</v>
      </c>
      <c r="J5" s="195"/>
      <c r="K5" s="193" t="s">
        <v>108</v>
      </c>
      <c r="L5" s="194"/>
      <c r="M5" s="183"/>
    </row>
    <row r="6" spans="1:13">
      <c r="A6" s="191" t="s">
        <v>97</v>
      </c>
      <c r="B6" s="192" t="s">
        <v>116</v>
      </c>
      <c r="C6" s="183"/>
      <c r="D6" s="193" t="s">
        <v>100</v>
      </c>
      <c r="E6" s="194" t="s">
        <v>73</v>
      </c>
      <c r="F6" s="185"/>
      <c r="G6" s="185"/>
      <c r="H6" s="193" t="s">
        <v>100</v>
      </c>
      <c r="I6" s="194" t="s">
        <v>73</v>
      </c>
      <c r="J6" s="195"/>
      <c r="K6" s="193" t="s">
        <v>109</v>
      </c>
      <c r="L6" s="194"/>
      <c r="M6" s="183"/>
    </row>
    <row r="7" spans="1:13">
      <c r="A7" s="191" t="s">
        <v>98</v>
      </c>
      <c r="B7" s="192" t="s">
        <v>118</v>
      </c>
      <c r="C7" s="183"/>
      <c r="D7" s="193" t="s">
        <v>101</v>
      </c>
      <c r="E7" s="194" t="s">
        <v>74</v>
      </c>
      <c r="F7" s="185"/>
      <c r="G7" s="185"/>
      <c r="H7" s="193" t="s">
        <v>101</v>
      </c>
      <c r="I7" s="194" t="s">
        <v>74</v>
      </c>
      <c r="J7" s="195"/>
      <c r="K7" s="193" t="s">
        <v>110</v>
      </c>
      <c r="L7" s="194"/>
      <c r="M7" s="183"/>
    </row>
    <row r="8" spans="1:13">
      <c r="A8" s="185"/>
      <c r="B8" s="185"/>
      <c r="C8" s="183"/>
      <c r="D8" s="193" t="s">
        <v>102</v>
      </c>
      <c r="E8" s="194" t="s">
        <v>75</v>
      </c>
      <c r="F8" s="185"/>
      <c r="G8" s="185"/>
      <c r="H8" s="193" t="s">
        <v>102</v>
      </c>
      <c r="I8" s="194" t="s">
        <v>75</v>
      </c>
      <c r="J8" s="195"/>
      <c r="K8" s="193" t="s">
        <v>111</v>
      </c>
      <c r="L8" s="194"/>
      <c r="M8" s="183"/>
    </row>
    <row r="9" spans="1:13">
      <c r="A9" s="185"/>
      <c r="B9" s="185"/>
      <c r="C9" s="183"/>
      <c r="D9" s="193" t="s">
        <v>103</v>
      </c>
      <c r="E9" s="194" t="s">
        <v>76</v>
      </c>
      <c r="F9" s="185"/>
      <c r="G9" s="185"/>
      <c r="H9" s="193" t="s">
        <v>103</v>
      </c>
      <c r="I9" s="194" t="s">
        <v>76</v>
      </c>
      <c r="J9" s="195"/>
      <c r="K9" s="193" t="s">
        <v>112</v>
      </c>
      <c r="L9" s="194" t="s">
        <v>81</v>
      </c>
      <c r="M9" s="183"/>
    </row>
    <row r="10" spans="1:13" ht="15.75" thickBot="1">
      <c r="A10" s="187" t="s">
        <v>82</v>
      </c>
      <c r="B10" s="188" t="s">
        <v>71</v>
      </c>
      <c r="C10" s="183"/>
      <c r="D10" s="193" t="s">
        <v>104</v>
      </c>
      <c r="E10" s="194" t="s">
        <v>77</v>
      </c>
      <c r="F10" s="185"/>
      <c r="G10" s="185"/>
      <c r="H10" s="193" t="s">
        <v>104</v>
      </c>
      <c r="I10" s="194" t="s">
        <v>77</v>
      </c>
      <c r="J10" s="195"/>
      <c r="L10" s="196"/>
      <c r="M10" s="183"/>
    </row>
    <row r="11" spans="1:13">
      <c r="A11" s="191" t="s">
        <v>96</v>
      </c>
      <c r="B11" s="192" t="s">
        <v>119</v>
      </c>
      <c r="C11" s="183"/>
      <c r="D11" s="193" t="s">
        <v>105</v>
      </c>
      <c r="E11" s="194" t="s">
        <v>78</v>
      </c>
      <c r="F11" s="185"/>
      <c r="G11" s="185"/>
      <c r="H11" s="193" t="s">
        <v>105</v>
      </c>
      <c r="I11" s="194" t="s">
        <v>78</v>
      </c>
      <c r="J11" s="195"/>
      <c r="L11" s="196"/>
      <c r="M11" s="183"/>
    </row>
    <row r="12" spans="1:13">
      <c r="A12" s="191" t="s">
        <v>97</v>
      </c>
      <c r="B12" s="192" t="s">
        <v>121</v>
      </c>
      <c r="C12" s="183"/>
      <c r="D12" s="193" t="s">
        <v>106</v>
      </c>
      <c r="E12" s="194" t="s">
        <v>79</v>
      </c>
      <c r="F12" s="185"/>
      <c r="G12" s="185"/>
      <c r="H12" s="193" t="s">
        <v>106</v>
      </c>
      <c r="I12" s="194" t="s">
        <v>79</v>
      </c>
      <c r="J12" s="195"/>
      <c r="L12" s="196"/>
      <c r="M12" s="183"/>
    </row>
    <row r="13" spans="1:13">
      <c r="A13" s="191"/>
      <c r="B13" s="192"/>
      <c r="C13" s="183"/>
      <c r="D13" s="193" t="s">
        <v>107</v>
      </c>
      <c r="E13" s="194" t="s">
        <v>80</v>
      </c>
      <c r="F13" s="185"/>
      <c r="G13" s="185"/>
      <c r="H13" s="193" t="s">
        <v>107</v>
      </c>
      <c r="I13" s="194" t="s">
        <v>80</v>
      </c>
      <c r="J13" s="195"/>
      <c r="L13" s="196"/>
      <c r="M13" s="183"/>
    </row>
    <row r="14" spans="1:13">
      <c r="A14" s="185"/>
      <c r="B14" s="185"/>
      <c r="C14" s="183"/>
      <c r="E14" s="196"/>
      <c r="F14" s="185"/>
      <c r="G14" s="185"/>
      <c r="I14" s="196"/>
      <c r="J14" s="195"/>
      <c r="L14" s="196"/>
      <c r="M14" s="183"/>
    </row>
    <row r="15" spans="1:13">
      <c r="A15" s="185"/>
      <c r="B15" s="185"/>
      <c r="C15" s="183"/>
      <c r="E15" s="196"/>
      <c r="I15" s="196"/>
      <c r="J15" s="195"/>
      <c r="L15" s="196"/>
      <c r="M15" s="183"/>
    </row>
    <row r="16" spans="1:13" ht="15.75" thickBot="1">
      <c r="A16" s="187" t="s">
        <v>84</v>
      </c>
      <c r="B16" s="188" t="s">
        <v>71</v>
      </c>
      <c r="C16" s="183"/>
      <c r="D16" s="186" t="s">
        <v>120</v>
      </c>
      <c r="F16" s="184"/>
      <c r="H16" s="186" t="s">
        <v>122</v>
      </c>
      <c r="K16" s="186" t="s">
        <v>124</v>
      </c>
      <c r="L16" s="196"/>
      <c r="M16" s="183"/>
    </row>
    <row r="17" spans="1:13" ht="15.75" thickBot="1">
      <c r="A17" s="191" t="s">
        <v>96</v>
      </c>
      <c r="B17" s="192" t="s">
        <v>125</v>
      </c>
      <c r="C17" s="183"/>
      <c r="D17" s="189" t="s">
        <v>119</v>
      </c>
      <c r="E17" s="188" t="s">
        <v>71</v>
      </c>
      <c r="H17" s="189" t="s">
        <v>121</v>
      </c>
      <c r="I17" s="188" t="s">
        <v>71</v>
      </c>
      <c r="J17" s="195"/>
      <c r="K17" s="189" t="s">
        <v>123</v>
      </c>
      <c r="L17" s="188" t="s">
        <v>71</v>
      </c>
      <c r="M17" s="183"/>
    </row>
    <row r="18" spans="1:13">
      <c r="A18" s="191" t="s">
        <v>97</v>
      </c>
      <c r="B18" s="192" t="s">
        <v>127</v>
      </c>
      <c r="C18" s="183"/>
      <c r="D18" s="193" t="s">
        <v>131</v>
      </c>
      <c r="E18" s="194" t="s">
        <v>85</v>
      </c>
      <c r="H18" s="193" t="s">
        <v>131</v>
      </c>
      <c r="I18" s="194" t="s">
        <v>85</v>
      </c>
      <c r="J18" s="190"/>
      <c r="K18" s="193"/>
      <c r="L18" s="194"/>
      <c r="M18" s="183"/>
    </row>
    <row r="19" spans="1:13">
      <c r="A19" s="191"/>
      <c r="B19" s="192"/>
      <c r="C19" s="183"/>
      <c r="D19" s="193" t="s">
        <v>132</v>
      </c>
      <c r="E19" s="194" t="s">
        <v>86</v>
      </c>
      <c r="F19" s="185"/>
      <c r="G19" s="185"/>
      <c r="H19" s="193" t="s">
        <v>132</v>
      </c>
      <c r="I19" s="194" t="s">
        <v>86</v>
      </c>
      <c r="J19" s="195"/>
      <c r="L19" s="196"/>
      <c r="M19" s="183"/>
    </row>
    <row r="20" spans="1:13">
      <c r="C20" s="183"/>
      <c r="D20" s="193" t="s">
        <v>133</v>
      </c>
      <c r="E20" s="194" t="s">
        <v>87</v>
      </c>
      <c r="F20" s="185"/>
      <c r="G20" s="185"/>
      <c r="H20" s="193" t="s">
        <v>133</v>
      </c>
      <c r="I20" s="194" t="s">
        <v>87</v>
      </c>
      <c r="J20" s="195"/>
      <c r="L20" s="196"/>
      <c r="M20" s="183"/>
    </row>
    <row r="21" spans="1:13">
      <c r="C21" s="183"/>
      <c r="D21" s="193" t="s">
        <v>134</v>
      </c>
      <c r="E21" s="194" t="s">
        <v>88</v>
      </c>
      <c r="F21" s="185"/>
      <c r="G21" s="185"/>
      <c r="H21" s="193" t="s">
        <v>134</v>
      </c>
      <c r="I21" s="194" t="s">
        <v>88</v>
      </c>
      <c r="J21" s="195"/>
      <c r="L21" s="196"/>
      <c r="M21" s="183"/>
    </row>
    <row r="22" spans="1:13">
      <c r="C22" s="197"/>
      <c r="D22" s="193" t="s">
        <v>135</v>
      </c>
      <c r="E22" s="194" t="s">
        <v>89</v>
      </c>
      <c r="F22" s="185"/>
      <c r="G22" s="185"/>
      <c r="H22" s="193" t="s">
        <v>135</v>
      </c>
      <c r="I22" s="194" t="s">
        <v>89</v>
      </c>
      <c r="J22" s="195"/>
      <c r="L22" s="196"/>
      <c r="M22" s="197"/>
    </row>
    <row r="23" spans="1:13">
      <c r="C23" s="197"/>
      <c r="D23" s="193"/>
      <c r="E23" s="194"/>
      <c r="F23" s="185"/>
      <c r="G23" s="185"/>
      <c r="H23" s="193"/>
      <c r="I23" s="194"/>
      <c r="J23" s="195"/>
      <c r="L23" s="196"/>
      <c r="M23" s="197"/>
    </row>
    <row r="24" spans="1:13">
      <c r="C24" s="197"/>
      <c r="E24" s="196"/>
      <c r="F24" s="185"/>
      <c r="G24" s="185"/>
      <c r="I24" s="196"/>
      <c r="J24" s="195"/>
      <c r="L24" s="196"/>
      <c r="M24" s="197"/>
    </row>
    <row r="25" spans="1:13">
      <c r="C25" s="197"/>
      <c r="E25" s="196"/>
      <c r="F25" s="185"/>
      <c r="I25" s="196"/>
      <c r="J25" s="195"/>
      <c r="L25" s="196"/>
      <c r="M25" s="197"/>
    </row>
    <row r="26" spans="1:13">
      <c r="C26" s="197"/>
      <c r="D26" s="186" t="s">
        <v>126</v>
      </c>
      <c r="F26" s="184"/>
      <c r="H26" s="186" t="s">
        <v>128</v>
      </c>
      <c r="K26" s="186" t="s">
        <v>130</v>
      </c>
      <c r="M26" s="197"/>
    </row>
    <row r="27" spans="1:13" ht="15.75" thickBot="1">
      <c r="C27" s="197"/>
      <c r="D27" s="189" t="s">
        <v>125</v>
      </c>
      <c r="E27" s="188" t="s">
        <v>71</v>
      </c>
      <c r="F27" s="185"/>
      <c r="H27" s="189" t="s">
        <v>127</v>
      </c>
      <c r="I27" s="188" t="s">
        <v>71</v>
      </c>
      <c r="J27" s="198"/>
      <c r="K27" s="189" t="s">
        <v>129</v>
      </c>
      <c r="L27" s="188" t="s">
        <v>71</v>
      </c>
      <c r="M27" s="197"/>
    </row>
    <row r="28" spans="1:13">
      <c r="C28" s="197"/>
      <c r="D28" s="193" t="s">
        <v>136</v>
      </c>
      <c r="E28" s="194" t="s">
        <v>90</v>
      </c>
      <c r="F28" s="185"/>
      <c r="H28" s="193" t="s">
        <v>136</v>
      </c>
      <c r="I28" s="194" t="s">
        <v>90</v>
      </c>
      <c r="J28" s="190"/>
      <c r="K28" s="193"/>
      <c r="L28" s="194"/>
      <c r="M28" s="197"/>
    </row>
    <row r="29" spans="1:13">
      <c r="C29" s="197"/>
      <c r="D29" s="193" t="s">
        <v>137</v>
      </c>
      <c r="E29" s="194" t="s">
        <v>91</v>
      </c>
      <c r="H29" s="193" t="s">
        <v>137</v>
      </c>
      <c r="I29" s="194" t="s">
        <v>91</v>
      </c>
      <c r="J29" s="195"/>
      <c r="L29" s="196"/>
      <c r="M29" s="197"/>
    </row>
    <row r="30" spans="1:13">
      <c r="C30" s="197"/>
      <c r="D30" s="193" t="s">
        <v>138</v>
      </c>
      <c r="E30" s="194" t="s">
        <v>92</v>
      </c>
      <c r="H30" s="193" t="s">
        <v>138</v>
      </c>
      <c r="I30" s="194" t="s">
        <v>92</v>
      </c>
      <c r="J30" s="195"/>
      <c r="M30" s="197"/>
    </row>
    <row r="31" spans="1:13">
      <c r="C31" s="197"/>
      <c r="D31" s="193" t="s">
        <v>139</v>
      </c>
      <c r="E31" s="194" t="s">
        <v>93</v>
      </c>
      <c r="H31" s="193" t="s">
        <v>139</v>
      </c>
      <c r="I31" s="194" t="s">
        <v>93</v>
      </c>
      <c r="J31" s="195"/>
      <c r="M31" s="197"/>
    </row>
    <row r="32" spans="1:13">
      <c r="C32" s="197"/>
      <c r="D32" s="193" t="s">
        <v>140</v>
      </c>
      <c r="E32" s="194" t="s">
        <v>94</v>
      </c>
      <c r="H32" s="193" t="s">
        <v>140</v>
      </c>
      <c r="I32" s="194" t="s">
        <v>94</v>
      </c>
      <c r="J32" s="195"/>
      <c r="M32" s="197"/>
    </row>
    <row r="33" spans="1:13">
      <c r="C33" s="197"/>
      <c r="D33" s="193" t="s">
        <v>141</v>
      </c>
      <c r="E33" s="194" t="s">
        <v>95</v>
      </c>
      <c r="H33" s="193" t="s">
        <v>141</v>
      </c>
      <c r="I33" s="194" t="s">
        <v>95</v>
      </c>
      <c r="J33" s="195"/>
      <c r="M33" s="197"/>
    </row>
    <row r="34" spans="1:13">
      <c r="C34" s="197"/>
      <c r="E34" s="196"/>
      <c r="I34" s="196"/>
      <c r="J34" s="196"/>
      <c r="M34" s="197"/>
    </row>
    <row r="35" spans="1:13">
      <c r="C35" s="197"/>
      <c r="E35" s="196"/>
      <c r="I35" s="196"/>
      <c r="J35" s="196"/>
      <c r="M35" s="197"/>
    </row>
    <row r="36" spans="1:13">
      <c r="C36" s="197"/>
      <c r="J36" s="196"/>
      <c r="M36" s="197"/>
    </row>
    <row r="37" spans="1:13">
      <c r="C37" s="197"/>
      <c r="M37" s="197"/>
    </row>
    <row r="38" spans="1:13">
      <c r="A38" s="206" t="s">
        <v>44</v>
      </c>
      <c r="C38" s="197"/>
      <c r="M38" s="197"/>
    </row>
    <row r="39" spans="1:13" ht="20.25">
      <c r="A39" s="204" t="s">
        <v>146</v>
      </c>
      <c r="B39" s="202" t="s">
        <v>143</v>
      </c>
      <c r="C39" s="197"/>
      <c r="D39" s="202"/>
      <c r="M39" s="197"/>
    </row>
    <row r="40" spans="1:13" ht="20.25">
      <c r="A40" s="205" t="s">
        <v>147</v>
      </c>
      <c r="B40" s="203" t="s">
        <v>144</v>
      </c>
      <c r="C40" s="197"/>
      <c r="D40" s="203"/>
      <c r="M40" s="197"/>
    </row>
    <row r="41" spans="1:13" ht="20.25">
      <c r="A41" s="204" t="s">
        <v>148</v>
      </c>
      <c r="B41" s="202" t="s">
        <v>145</v>
      </c>
      <c r="C41" s="197"/>
      <c r="D41" s="202"/>
      <c r="M41" s="197"/>
    </row>
    <row r="42" spans="1:13">
      <c r="C42" s="197"/>
      <c r="M42" s="197"/>
    </row>
    <row r="43" spans="1:13">
      <c r="C43" s="197"/>
      <c r="M43" s="197"/>
    </row>
    <row r="44" spans="1:13">
      <c r="C44" s="197"/>
      <c r="M44" s="197"/>
    </row>
    <row r="45" spans="1:13">
      <c r="C45" s="197"/>
      <c r="M45" s="197"/>
    </row>
    <row r="46" spans="1:13">
      <c r="C46" s="197"/>
      <c r="M46" s="197"/>
    </row>
    <row r="47" spans="1:13">
      <c r="C47" s="197"/>
      <c r="M47" s="197"/>
    </row>
    <row r="48" spans="1:13">
      <c r="C48" s="197"/>
      <c r="M48" s="197"/>
    </row>
    <row r="49" spans="3:13">
      <c r="C49" s="197"/>
      <c r="M49" s="197"/>
    </row>
    <row r="50" spans="3:13">
      <c r="C50" s="197"/>
      <c r="M50" s="197"/>
    </row>
    <row r="51" spans="3:13">
      <c r="C51" s="197"/>
      <c r="M51" s="197"/>
    </row>
    <row r="52" spans="3:13">
      <c r="C52" s="197"/>
      <c r="M52" s="197"/>
    </row>
    <row r="53" spans="3:13">
      <c r="C53" s="197"/>
      <c r="M53" s="197"/>
    </row>
    <row r="54" spans="3:13">
      <c r="C54" s="197"/>
      <c r="M54" s="197"/>
    </row>
    <row r="55" spans="3:13">
      <c r="C55" s="197"/>
      <c r="M55" s="197"/>
    </row>
    <row r="56" spans="3:13">
      <c r="C56" s="197"/>
      <c r="M56" s="197"/>
    </row>
    <row r="57" spans="3:13">
      <c r="C57" s="197"/>
      <c r="M57" s="197"/>
    </row>
    <row r="58" spans="3:13">
      <c r="C58" s="197"/>
      <c r="M58" s="197"/>
    </row>
    <row r="59" spans="3:13">
      <c r="C59" s="197"/>
      <c r="M59" s="197"/>
    </row>
    <row r="60" spans="3:13">
      <c r="C60" s="197"/>
      <c r="M60" s="197"/>
    </row>
    <row r="61" spans="3:13">
      <c r="C61" s="197"/>
      <c r="M61" s="197"/>
    </row>
    <row r="62" spans="3:13">
      <c r="C62" s="197"/>
      <c r="M62" s="197"/>
    </row>
    <row r="63" spans="3:13">
      <c r="C63" s="197"/>
      <c r="M63" s="197"/>
    </row>
    <row r="64" spans="3:13">
      <c r="C64" s="197"/>
      <c r="M64" s="197"/>
    </row>
    <row r="65" spans="3:13">
      <c r="C65" s="197"/>
      <c r="M65" s="197"/>
    </row>
    <row r="66" spans="3:13">
      <c r="C66" s="197"/>
      <c r="M66" s="197"/>
    </row>
    <row r="67" spans="3:13">
      <c r="C67" s="197"/>
      <c r="M67" s="197"/>
    </row>
    <row r="68" spans="3:13">
      <c r="C68" s="197"/>
      <c r="M68" s="197"/>
    </row>
    <row r="69" spans="3:13">
      <c r="C69" s="197"/>
      <c r="M69" s="197"/>
    </row>
    <row r="70" spans="3:13">
      <c r="C70" s="197"/>
      <c r="M70" s="197"/>
    </row>
    <row r="71" spans="3:13">
      <c r="C71" s="197"/>
      <c r="M71" s="197"/>
    </row>
    <row r="72" spans="3:13">
      <c r="C72" s="197"/>
      <c r="M72" s="197"/>
    </row>
    <row r="73" spans="3:13">
      <c r="C73" s="197"/>
      <c r="M73" s="197"/>
    </row>
    <row r="74" spans="3:13">
      <c r="C74" s="197"/>
      <c r="M74" s="197"/>
    </row>
    <row r="75" spans="3:13">
      <c r="C75" s="197"/>
      <c r="M75" s="197"/>
    </row>
    <row r="76" spans="3:13">
      <c r="C76" s="197"/>
      <c r="M76" s="197"/>
    </row>
    <row r="77" spans="3:13">
      <c r="C77" s="197"/>
      <c r="M77" s="197"/>
    </row>
    <row r="78" spans="3:13">
      <c r="C78" s="197"/>
      <c r="M78" s="19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20</vt:i4>
      </vt:variant>
    </vt:vector>
  </HeadingPairs>
  <TitlesOfParts>
    <vt:vector size="24" baseType="lpstr">
      <vt:lpstr>Resumen general</vt:lpstr>
      <vt:lpstr>Acciones rurales</vt:lpstr>
      <vt:lpstr>Acciones urbanas</vt:lpstr>
      <vt:lpstr>Catalogos2024</vt:lpstr>
      <vt:lpstr>'Acciones rurales'!Área_de_impresión</vt:lpstr>
      <vt:lpstr>'Acciones urbanas'!Área_de_impresión</vt:lpstr>
      <vt:lpstr>M_AP</vt:lpstr>
      <vt:lpstr>ME_ALC</vt:lpstr>
      <vt:lpstr>ME_AP</vt:lpstr>
      <vt:lpstr>ME_SAN</vt:lpstr>
      <vt:lpstr>N_ALC</vt:lpstr>
      <vt:lpstr>N_AP</vt:lpstr>
      <vt:lpstr>N_SAN</vt:lpstr>
      <vt:lpstr>NVA_ALC</vt:lpstr>
      <vt:lpstr>NVA_AP</vt:lpstr>
      <vt:lpstr>NVA_SAN</vt:lpstr>
      <vt:lpstr>R_ALC</vt:lpstr>
      <vt:lpstr>R_AP</vt:lpstr>
      <vt:lpstr>R_SAN</vt:lpstr>
      <vt:lpstr>REHA_ALC</vt:lpstr>
      <vt:lpstr>REHA_AP</vt:lpstr>
      <vt:lpstr>REHA_SAN</vt:lpstr>
      <vt:lpstr>'Acciones rurales'!Títulos_a_imprimir</vt:lpstr>
      <vt:lpstr>'Acciones urbanas'!Títulos_a_imprimir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PLANEACION</dc:creator>
  <cp:lastModifiedBy>123</cp:lastModifiedBy>
  <cp:lastPrinted>2024-01-10T16:13:18Z</cp:lastPrinted>
  <dcterms:created xsi:type="dcterms:W3CDTF">2023-02-21T14:46:53Z</dcterms:created>
  <dcterms:modified xsi:type="dcterms:W3CDTF">2026-01-30T18:39:51Z</dcterms:modified>
</cp:coreProperties>
</file>