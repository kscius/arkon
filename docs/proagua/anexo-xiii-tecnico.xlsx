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toledo\Documents\Proagua 2026\PROYECTO LINEAMIENTOS U074\FORMATOS U074\FORMATOS DEFINITIVOS\"/>
    </mc:Choice>
  </mc:AlternateContent>
  <bookViews>
    <workbookView xWindow="0" yWindow="0" windowWidth="28800" windowHeight="12300"/>
  </bookViews>
  <sheets>
    <sheet name="Resumen general" sheetId="4" r:id="rId1"/>
    <sheet name="Acciones rurales" sheetId="2" r:id="rId2"/>
    <sheet name="Acciones urbanas" sheetId="8" r:id="rId3"/>
    <sheet name="Catalogos2024" sheetId="10" state="hidden" r:id="rId4"/>
  </sheets>
  <definedNames>
    <definedName name="_xlnm._FilterDatabase" localSheetId="1" hidden="1">'Acciones rurales'!$C$12:$AC$37</definedName>
    <definedName name="_xlnm._FilterDatabase" localSheetId="2" hidden="1">'Acciones urbanas'!$C$12:$AC$37</definedName>
    <definedName name="_xlnm._FilterDatabase" localSheetId="3" hidden="1">Catalogos2024!$A$52:$H$78</definedName>
    <definedName name="_xlnm.Print_Area" localSheetId="2">'Acciones urbanas'!$A$1:$AD$54</definedName>
    <definedName name="M_AP">Catalogos2024!$K$5:$K$9</definedName>
    <definedName name="ME_ALC">Catalogos2024!$K$18:$K$19</definedName>
    <definedName name="ME_AP">Catalogos2024!$K$5:$K$6</definedName>
    <definedName name="ME_SAN">Catalogos2024!$K$28:$K$29</definedName>
    <definedName name="N_ALC">Catalogos2024!$D$18:$D$23</definedName>
    <definedName name="N_AP">Catalogos2024!$D$5:$D$13</definedName>
    <definedName name="N_SAN">Catalogos2024!$D$28:$D$33</definedName>
    <definedName name="NVA_ALC">Catalogos2024!$D$18:$D$24</definedName>
    <definedName name="NVA_AP">Catalogos2024!$D$5:$D$14</definedName>
    <definedName name="NVA_SAN">Catalogos2024!$D$28:$D$36</definedName>
    <definedName name="R_ALC">Catalogos2024!$H$18:$H$23</definedName>
    <definedName name="R_AP">Catalogos2024!$H$5:$H$13</definedName>
    <definedName name="R_SAN">Catalogos2024!$H$28:$H$33</definedName>
    <definedName name="REHA_ALC">Catalogos2024!$H$18:$H$24</definedName>
    <definedName name="REHA_AP">Catalogos2024!$H$5:$H$14</definedName>
    <definedName name="REHA_SAN">Catalogos2024!$H$28:$H$34</definedName>
    <definedName name="_xlnm.Print_Titles" localSheetId="1">'Acciones rurales'!$1:$14</definedName>
    <definedName name="_xlnm.Print_Titles" localSheetId="2">'Acciones urbanas'!$1:$14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9" i="2" l="1"/>
  <c r="Y30" i="2"/>
  <c r="Y31" i="2"/>
  <c r="Y23" i="2"/>
  <c r="Y24" i="2"/>
  <c r="Y25" i="2"/>
  <c r="Y22" i="2"/>
  <c r="Y17" i="2"/>
  <c r="Y18" i="2"/>
  <c r="Y19" i="2"/>
  <c r="Y16" i="2"/>
  <c r="M27" i="4"/>
  <c r="L27" i="4"/>
  <c r="Y36" i="8"/>
  <c r="Y35" i="8"/>
  <c r="Y34" i="8"/>
  <c r="Y31" i="8"/>
  <c r="Y30" i="8"/>
  <c r="Y29" i="8"/>
  <c r="Y28" i="8"/>
  <c r="Y25" i="8"/>
  <c r="Y24" i="8"/>
  <c r="Y23" i="8"/>
  <c r="Y22" i="8"/>
  <c r="Y19" i="8"/>
  <c r="Y18" i="8"/>
  <c r="Y17" i="8"/>
  <c r="X26" i="8"/>
  <c r="W26" i="8"/>
  <c r="V26" i="8"/>
  <c r="U26" i="8"/>
  <c r="T26" i="8"/>
  <c r="O33" i="4"/>
  <c r="N33" i="4"/>
  <c r="M33" i="4"/>
  <c r="L33" i="4"/>
  <c r="K33" i="4"/>
  <c r="O32" i="4"/>
  <c r="N32" i="4"/>
  <c r="M32" i="4"/>
  <c r="L32" i="4"/>
  <c r="K32" i="4"/>
  <c r="O31" i="4"/>
  <c r="N31" i="4"/>
  <c r="M31" i="4"/>
  <c r="L31" i="4"/>
  <c r="K31" i="4"/>
  <c r="O29" i="4"/>
  <c r="N29" i="4"/>
  <c r="M29" i="4"/>
  <c r="L29" i="4"/>
  <c r="K29" i="4"/>
  <c r="O28" i="4"/>
  <c r="O27" i="4"/>
  <c r="N28" i="4"/>
  <c r="N27" i="4"/>
  <c r="M28" i="4"/>
  <c r="L28" i="4"/>
  <c r="K28" i="4"/>
  <c r="K27" i="4"/>
  <c r="O25" i="4"/>
  <c r="N25" i="4"/>
  <c r="M25" i="4"/>
  <c r="L25" i="4"/>
  <c r="K25" i="4"/>
  <c r="K23" i="4"/>
  <c r="O24" i="4"/>
  <c r="N24" i="4"/>
  <c r="M24" i="4"/>
  <c r="L24" i="4"/>
  <c r="K24" i="4"/>
  <c r="D25" i="4"/>
  <c r="D24" i="4"/>
  <c r="K20" i="4"/>
  <c r="O22" i="4"/>
  <c r="O21" i="4"/>
  <c r="N22" i="4"/>
  <c r="N21" i="4"/>
  <c r="M22" i="4"/>
  <c r="M21" i="4"/>
  <c r="O20" i="4"/>
  <c r="N20" i="4"/>
  <c r="M20" i="4"/>
  <c r="L22" i="4"/>
  <c r="L21" i="4"/>
  <c r="L20" i="4"/>
  <c r="K22" i="4"/>
  <c r="P31" i="4"/>
  <c r="M23" i="4"/>
  <c r="O23" i="4"/>
  <c r="Y26" i="8"/>
  <c r="P33" i="4"/>
  <c r="P32" i="4"/>
  <c r="P29" i="4"/>
  <c r="P28" i="4"/>
  <c r="P27" i="4"/>
  <c r="N23" i="4"/>
  <c r="L23" i="4"/>
  <c r="P25" i="4"/>
  <c r="P24" i="4"/>
  <c r="P22" i="4"/>
  <c r="K21" i="4"/>
  <c r="P21" i="4"/>
  <c r="L19" i="4"/>
  <c r="P20" i="4"/>
  <c r="Y16" i="8"/>
  <c r="Y36" i="2"/>
  <c r="Y35" i="2"/>
  <c r="Y34" i="2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Y28" i="2"/>
  <c r="H29" i="4"/>
  <c r="G29" i="4"/>
  <c r="H28" i="4"/>
  <c r="G28" i="4"/>
  <c r="F28" i="4"/>
  <c r="F29" i="4"/>
  <c r="E29" i="4"/>
  <c r="E28" i="4"/>
  <c r="D29" i="4"/>
  <c r="D28" i="4"/>
  <c r="D27" i="4"/>
  <c r="H25" i="4"/>
  <c r="G25" i="4"/>
  <c r="H24" i="4"/>
  <c r="G24" i="4"/>
  <c r="F25" i="4"/>
  <c r="F24" i="4"/>
  <c r="E25" i="4"/>
  <c r="E24" i="4"/>
  <c r="D23" i="4"/>
  <c r="H22" i="4"/>
  <c r="G22" i="4"/>
  <c r="H21" i="4"/>
  <c r="G21" i="4"/>
  <c r="H20" i="4"/>
  <c r="G20" i="4"/>
  <c r="F22" i="4"/>
  <c r="F21" i="4"/>
  <c r="F20" i="4"/>
  <c r="X32" i="2"/>
  <c r="X26" i="2"/>
  <c r="X20" i="2"/>
  <c r="X32" i="8"/>
  <c r="X20" i="8"/>
  <c r="D20" i="4"/>
  <c r="E22" i="4"/>
  <c r="E21" i="4"/>
  <c r="E20" i="4"/>
  <c r="D22" i="4"/>
  <c r="O19" i="4"/>
  <c r="O35" i="4"/>
  <c r="N19" i="4"/>
  <c r="M19" i="4"/>
  <c r="M35" i="4"/>
  <c r="D21" i="4"/>
  <c r="R32" i="8"/>
  <c r="Q32" i="8"/>
  <c r="P32" i="8"/>
  <c r="O32" i="8"/>
  <c r="N32" i="8"/>
  <c r="R26" i="8"/>
  <c r="Q26" i="8"/>
  <c r="P26" i="8"/>
  <c r="O26" i="8"/>
  <c r="N26" i="8"/>
  <c r="R20" i="8"/>
  <c r="Q20" i="8"/>
  <c r="P20" i="8"/>
  <c r="O20" i="8"/>
  <c r="N20" i="8"/>
  <c r="W32" i="8"/>
  <c r="V32" i="8"/>
  <c r="U32" i="8"/>
  <c r="T32" i="8"/>
  <c r="Y32" i="8"/>
  <c r="W20" i="8"/>
  <c r="V20" i="8"/>
  <c r="U20" i="8"/>
  <c r="T20" i="8"/>
  <c r="U32" i="2"/>
  <c r="W32" i="2"/>
  <c r="V32" i="2"/>
  <c r="T32" i="2"/>
  <c r="W26" i="2"/>
  <c r="V26" i="2"/>
  <c r="U26" i="2"/>
  <c r="T26" i="2"/>
  <c r="R32" i="2"/>
  <c r="Q32" i="2"/>
  <c r="P32" i="2"/>
  <c r="O32" i="2"/>
  <c r="N32" i="2"/>
  <c r="R26" i="2"/>
  <c r="Q26" i="2"/>
  <c r="P26" i="2"/>
  <c r="O26" i="2"/>
  <c r="N26" i="2"/>
  <c r="W20" i="2"/>
  <c r="V20" i="2"/>
  <c r="U20" i="2"/>
  <c r="T20" i="2"/>
  <c r="R20" i="2"/>
  <c r="R37" i="2"/>
  <c r="N20" i="2"/>
  <c r="N37" i="2"/>
  <c r="O37" i="8"/>
  <c r="X37" i="8"/>
  <c r="I31" i="4"/>
  <c r="Y32" i="2"/>
  <c r="X37" i="2"/>
  <c r="W37" i="2"/>
  <c r="D19" i="4"/>
  <c r="D35" i="4"/>
  <c r="U37" i="8"/>
  <c r="F27" i="4"/>
  <c r="E27" i="4"/>
  <c r="H23" i="4"/>
  <c r="L35" i="4"/>
  <c r="N35" i="4"/>
  <c r="P23" i="4"/>
  <c r="Y20" i="8"/>
  <c r="P19" i="4"/>
  <c r="K19" i="4"/>
  <c r="K35" i="4"/>
  <c r="W37" i="8"/>
  <c r="I32" i="4"/>
  <c r="I33" i="4"/>
  <c r="H27" i="4"/>
  <c r="G27" i="4"/>
  <c r="V37" i="2"/>
  <c r="F23" i="4"/>
  <c r="G23" i="4"/>
  <c r="E23" i="4"/>
  <c r="H19" i="4"/>
  <c r="G19" i="4"/>
  <c r="V37" i="8"/>
  <c r="F19" i="4"/>
  <c r="E19" i="4"/>
  <c r="Y20" i="2"/>
  <c r="Y37" i="8"/>
  <c r="R37" i="8"/>
  <c r="Q37" i="8"/>
  <c r="N37" i="8"/>
  <c r="P37" i="8"/>
  <c r="Y26" i="2"/>
  <c r="T37" i="8"/>
  <c r="U37" i="2"/>
  <c r="T37" i="2"/>
  <c r="F35" i="4"/>
  <c r="M37" i="4"/>
  <c r="K37" i="4"/>
  <c r="E35" i="4"/>
  <c r="L37" i="4"/>
  <c r="G35" i="4"/>
  <c r="N37" i="4"/>
  <c r="H35" i="4"/>
  <c r="O37" i="4"/>
  <c r="P35" i="4"/>
  <c r="Y37" i="2"/>
  <c r="P37" i="4"/>
  <c r="O20" i="2"/>
  <c r="O37" i="2"/>
  <c r="P20" i="2"/>
  <c r="P37" i="2"/>
  <c r="Q20" i="2"/>
  <c r="Q37" i="2"/>
  <c r="I24" i="4"/>
  <c r="I25" i="4"/>
  <c r="I29" i="4"/>
  <c r="I28" i="4"/>
  <c r="I27" i="4"/>
  <c r="I23" i="4"/>
  <c r="I22" i="4"/>
  <c r="I21" i="4"/>
  <c r="I20" i="4"/>
  <c r="I19" i="4"/>
  <c r="I35" i="4"/>
</calcChain>
</file>

<file path=xl/sharedStrings.xml><?xml version="1.0" encoding="utf-8"?>
<sst xmlns="http://schemas.openxmlformats.org/spreadsheetml/2006/main" count="349" uniqueCount="178">
  <si>
    <t>No.</t>
  </si>
  <si>
    <t>Localización</t>
  </si>
  <si>
    <t>Clave INEGI
(9 dígitos)</t>
  </si>
  <si>
    <t xml:space="preserve">Municipio </t>
  </si>
  <si>
    <t>Localidad</t>
  </si>
  <si>
    <t>Incorp.</t>
  </si>
  <si>
    <t>Mejor.</t>
  </si>
  <si>
    <t>Mujeres</t>
  </si>
  <si>
    <t>Federal</t>
  </si>
  <si>
    <t>Indígena</t>
  </si>
  <si>
    <t>Afromexicano</t>
  </si>
  <si>
    <t>Metas</t>
  </si>
  <si>
    <t>Unidad</t>
  </si>
  <si>
    <t>Cantidad</t>
  </si>
  <si>
    <t>Estatal</t>
  </si>
  <si>
    <t>Municipal</t>
  </si>
  <si>
    <t>Estructura financiera</t>
  </si>
  <si>
    <t>Ejecutor:</t>
  </si>
  <si>
    <t>TOTAL</t>
  </si>
  <si>
    <t xml:space="preserve"> </t>
  </si>
  <si>
    <t>Componente Agua potable</t>
  </si>
  <si>
    <t>Nuevo</t>
  </si>
  <si>
    <t>Rehabilitado</t>
  </si>
  <si>
    <t xml:space="preserve">Mejoramiento de eficiencia </t>
  </si>
  <si>
    <t>Participación social / Atención Social</t>
  </si>
  <si>
    <t>Participación social / Contraloria Social</t>
  </si>
  <si>
    <t>Componente Alcantarillado</t>
  </si>
  <si>
    <t>Componente Saneamiento</t>
  </si>
  <si>
    <t>Supervisión Técnica</t>
  </si>
  <si>
    <t>T O T A L</t>
  </si>
  <si>
    <t>Deberán firmar las mismas personas que suscribieron el Anexo de Ejecución</t>
  </si>
  <si>
    <t>Entidad Federativa:</t>
  </si>
  <si>
    <t>Acción</t>
  </si>
  <si>
    <t>Habitantes a beneficiar (por localidad)</t>
  </si>
  <si>
    <t>Sub
componente
( N, R o M)</t>
  </si>
  <si>
    <t>NOTAS</t>
  </si>
  <si>
    <t>La suma de habitantes a beneficiar, no debe ser mayor a la población total.</t>
  </si>
  <si>
    <t>P1</t>
  </si>
  <si>
    <t>P2</t>
  </si>
  <si>
    <t>El presente anexo se llenará por la instancia ejecutora.</t>
  </si>
  <si>
    <t>P3</t>
  </si>
  <si>
    <t>P4</t>
  </si>
  <si>
    <t>*Estrategia
impactada
DH, CI o PP</t>
  </si>
  <si>
    <t>Desarrollo integral para pueblos y comunidades indígenas.</t>
  </si>
  <si>
    <t>Programa Especial Concurrente para el desarrollo rural sustentable (PEC)</t>
  </si>
  <si>
    <t>Adaptación y mitigación de los efectos de cambio climático</t>
  </si>
  <si>
    <t>Programa para superar la pobreza</t>
  </si>
  <si>
    <t>Acciones para Infraestructura de agua potable, alcantarillado y saneamiento (Localidades Rurales)</t>
  </si>
  <si>
    <t>Componente Agua Potable</t>
  </si>
  <si>
    <t>Por el Beneficiario</t>
  </si>
  <si>
    <t>Por la Instancia Ejecutora</t>
  </si>
  <si>
    <t>(Quien conforme a su normatividad tenga atribuciones)</t>
  </si>
  <si>
    <t>Por el Ejecutivo Federal</t>
  </si>
  <si>
    <t>Secretaría de Medio Ambiente y Recursos Naturales</t>
  </si>
  <si>
    <t>Comisión Nacional del Agua</t>
  </si>
  <si>
    <t>(nombre, cargo y firma)</t>
  </si>
  <si>
    <t>* Estrategias impactadas:</t>
  </si>
  <si>
    <t>** Programas transversales a atender:</t>
  </si>
  <si>
    <t>Supervisión técnica</t>
  </si>
  <si>
    <t>Acciones de estudios y proyectos, no registrar habitantes a beneficiar.</t>
  </si>
  <si>
    <t>ROP
Anexo IV</t>
  </si>
  <si>
    <t>Total componente Agua Potable</t>
  </si>
  <si>
    <t>Total componente Alcantarillado</t>
  </si>
  <si>
    <t>Total componente Saneamiento</t>
  </si>
  <si>
    <t>% de
Aportación
Federal</t>
  </si>
  <si>
    <t>Criterio de
selección
de acción</t>
  </si>
  <si>
    <t>Programa
transversal **</t>
  </si>
  <si>
    <t xml:space="preserve">Grado de
marginación
(CONAPO) </t>
  </si>
  <si>
    <t>Acciones para Infraestructura de agua potable, alcantarillado y saneamiento (Localidades Urbanas)</t>
  </si>
  <si>
    <t>Entidad Federativa: __________________________________</t>
  </si>
  <si>
    <t>Fuente de financiamiento</t>
  </si>
  <si>
    <t>Localidades Rurales</t>
  </si>
  <si>
    <t>Localidades Urbanas</t>
  </si>
  <si>
    <t>Montos totales (localidades rurales y urbanas)</t>
  </si>
  <si>
    <t>Estado</t>
  </si>
  <si>
    <t>Municipio</t>
  </si>
  <si>
    <t>Organismo operador</t>
  </si>
  <si>
    <t>Otros</t>
  </si>
  <si>
    <t>Total</t>
  </si>
  <si>
    <t>Componente/Subcomponente</t>
  </si>
  <si>
    <t>R e s u m e n      G e n e r a l</t>
  </si>
  <si>
    <t>Acciones para infraestructura de agua potable, alcantarillado y saneamiento en localidades rurales y urbanas</t>
  </si>
  <si>
    <t>Clave única de acción
(CUA)</t>
  </si>
  <si>
    <t>Notas</t>
  </si>
  <si>
    <t>El presente anexo técnico se firma en cuatro ejemplares originales, a los  ______  días del mes de _____________ de 202_</t>
  </si>
  <si>
    <t>DH= Derechos Humanos</t>
  </si>
  <si>
    <t>CI= Compromiso Internacional</t>
  </si>
  <si>
    <t>PP= proyecto prioritario</t>
  </si>
  <si>
    <t>SUBCOMPONENTES</t>
  </si>
  <si>
    <t>TIPOS DE ACCION POR SUBCOMPOENTES Agua, Alcantarillado y Saneamiento</t>
  </si>
  <si>
    <t>SubComponente Agua Potable</t>
  </si>
  <si>
    <t>Indice</t>
  </si>
  <si>
    <t>_1ObrCapSub</t>
  </si>
  <si>
    <t>_2ObrCapSup</t>
  </si>
  <si>
    <t>_3LinConduc</t>
  </si>
  <si>
    <t>_4Tque</t>
  </si>
  <si>
    <t>_5PP</t>
  </si>
  <si>
    <t>_6RedDistri</t>
  </si>
  <si>
    <t>_8Equip</t>
  </si>
  <si>
    <t>_9SisInte</t>
  </si>
  <si>
    <t>_11ProyEst</t>
  </si>
  <si>
    <t>_1Capa</t>
  </si>
  <si>
    <t>SubComponente Alcantarillado</t>
  </si>
  <si>
    <t>Informe</t>
  </si>
  <si>
    <t>SubComponente Saneamiento</t>
  </si>
  <si>
    <t>_1SistAtarjea</t>
  </si>
  <si>
    <t>_2SistColec</t>
  </si>
  <si>
    <t>_4Equip</t>
  </si>
  <si>
    <t>_5SisInte</t>
  </si>
  <si>
    <t>_7ProyEst</t>
  </si>
  <si>
    <t>_1SaneaBas</t>
  </si>
  <si>
    <t>_2PTAR</t>
  </si>
  <si>
    <t>_4ReuInter</t>
  </si>
  <si>
    <t>_5Emisor</t>
  </si>
  <si>
    <t>_6Equipa</t>
  </si>
  <si>
    <t>_8ProyEst</t>
  </si>
  <si>
    <t>N</t>
  </si>
  <si>
    <t>R</t>
  </si>
  <si>
    <t>M</t>
  </si>
  <si>
    <t>(A.1) Obra de captación subterránea</t>
  </si>
  <si>
    <t>(A.2) Obra de captación superficial</t>
  </si>
  <si>
    <t>(A.3) Línea de conducción</t>
  </si>
  <si>
    <t>(A.4) Tanque</t>
  </si>
  <si>
    <t>(A.5) Planta potabilizadora</t>
  </si>
  <si>
    <t>(A.6) Redes de distribución</t>
  </si>
  <si>
    <t>(A.7) Equipamiento</t>
  </si>
  <si>
    <t>(A.8) Sistema integrado</t>
  </si>
  <si>
    <t>(A.10) Estudios y proyectos</t>
  </si>
  <si>
    <t>(A.1) Equipamiento o instrumentación</t>
  </si>
  <si>
    <t>(A.2) Sistema comercial</t>
  </si>
  <si>
    <t>(A.3) Estudios y diagnósticos</t>
  </si>
  <si>
    <t>(A.4) Pérdidas físicas de agua</t>
  </si>
  <si>
    <t>(A.5) Fortalecimiento de capacidades</t>
  </si>
  <si>
    <t>=INDIRECTO("N_AP")</t>
  </si>
  <si>
    <t>N_AP</t>
  </si>
  <si>
    <t>=INDIRECTO("R_AP")</t>
  </si>
  <si>
    <t>R_AP</t>
  </si>
  <si>
    <t>=INDIRECTO("M_AP")</t>
  </si>
  <si>
    <t>M_AP</t>
  </si>
  <si>
    <t>N_ALC</t>
  </si>
  <si>
    <t>=INDIRECTO("N_ALC")</t>
  </si>
  <si>
    <t>R_ALC</t>
  </si>
  <si>
    <t>=INDIRECTO("R_ALC")</t>
  </si>
  <si>
    <t>M_ALC</t>
  </si>
  <si>
    <t>=INDIRECTO("M_ALC")</t>
  </si>
  <si>
    <t>N_SAN</t>
  </si>
  <si>
    <t>=INDIRECTO("N_SAN")</t>
  </si>
  <si>
    <t>R_SAN</t>
  </si>
  <si>
    <t>=INDIRECTO("R_SAN")</t>
  </si>
  <si>
    <t>M_SAN</t>
  </si>
  <si>
    <t>=INDIRECTO("M_SAN")</t>
  </si>
  <si>
    <t>(A.1) Sistema de atarjeas</t>
  </si>
  <si>
    <t>(A.2) Sistema de colectores</t>
  </si>
  <si>
    <t>(A.3) Equipamiento</t>
  </si>
  <si>
    <t>(A.4) Sistema integrado*</t>
  </si>
  <si>
    <t>(A.6) Estudios y proyectos</t>
  </si>
  <si>
    <t>(A.1) Saneamiento básico</t>
  </si>
  <si>
    <t>(A.2) Planta de tratamiento de aguas residuales</t>
  </si>
  <si>
    <t>(A.3) Reutilización o intercambio de agua tratada</t>
  </si>
  <si>
    <t>(A.4) Emisor</t>
  </si>
  <si>
    <t>(A.5) Equipamiento</t>
  </si>
  <si>
    <t>(A.7) Estudios y proyectos</t>
  </si>
  <si>
    <t>Expediente</t>
  </si>
  <si>
    <t>DH</t>
  </si>
  <si>
    <t>CI</t>
  </si>
  <si>
    <t>PP</t>
  </si>
  <si>
    <t>Derechos Humanos</t>
  </si>
  <si>
    <t>Compromiso Internacional</t>
  </si>
  <si>
    <t>Proyecto prioritario</t>
  </si>
  <si>
    <r>
      <t>Los montos de inversión en el presente anexo técnico, se anotarán en pesos, a</t>
    </r>
    <r>
      <rPr>
        <b/>
        <sz val="16"/>
        <color rgb="FF00B050"/>
        <rFont val="Montserrat"/>
      </rPr>
      <t xml:space="preserve"> dos decimales.</t>
    </r>
  </si>
  <si>
    <t>PP= Proyecto prioritario</t>
  </si>
  <si>
    <t>Los montos de inversión en el presente anexo técnico, se anotarán en pesos, a dos decimales.</t>
  </si>
  <si>
    <t>Nota: Los montos de inversión en el presente Anexo Técnico, se anotarán en pesos, a dos decimales.</t>
  </si>
  <si>
    <t xml:space="preserve">
Nombre de la obra o acción (Descripción detallada de los trabajos a realizar)</t>
  </si>
  <si>
    <t>Programa de Agua Potable, Drenaje y Tratamiento (PROAGUA) 202__</t>
  </si>
  <si>
    <t>Anexo de Ejecución PROAGUA Núm. __ - __ / 202__</t>
  </si>
  <si>
    <t>Anexo Técnico Núm. __ / 202__</t>
  </si>
  <si>
    <t xml:space="preserve">La entidad federativa, el (los) municipio(s), el (los) organismo(s) operador(es) y las organizaciones comunitarias manifiesta(n) conocer y sujetarse a lo establecido en los Lineamientos de Operación U074 para el Programa de Agua Potable, Drenaje y Tratamiento a cargo de la Comisión Nacional del Agua, aplicables a partir de 202__ y demás normatividad aplicable, comprometiéndose a cumplirla.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</si>
</sst>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#,##0.0_ ;\-#,##0.0\ "/>
  </numFmts>
  <fonts count="75" x14ac:knownFonts="1">
    <font>
      <sz val="9"/>
      <color theme="1"/>
      <name val="Montserrat Medium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ontserrat Medium"/>
      <family val="2"/>
    </font>
    <font>
      <b/>
      <sz val="14"/>
      <color theme="1"/>
      <name val="Montserrat"/>
    </font>
    <font>
      <b/>
      <sz val="11"/>
      <color theme="1"/>
      <name val="Montserrat"/>
    </font>
    <font>
      <b/>
      <sz val="16"/>
      <color theme="1"/>
      <name val="Montserrat"/>
    </font>
    <font>
      <b/>
      <sz val="18"/>
      <color theme="1"/>
      <name val="Montserrat"/>
    </font>
    <font>
      <sz val="11"/>
      <name val="Arial"/>
      <family val="2"/>
    </font>
    <font>
      <b/>
      <sz val="18"/>
      <name val="Montserrat"/>
    </font>
    <font>
      <b/>
      <sz val="16"/>
      <name val="Montserrat"/>
    </font>
    <font>
      <b/>
      <sz val="14"/>
      <name val="Montserrat"/>
    </font>
    <font>
      <sz val="11"/>
      <color theme="1"/>
      <name val="Arial"/>
      <family val="2"/>
    </font>
    <font>
      <b/>
      <i/>
      <sz val="10"/>
      <name val="Arial"/>
      <family val="2"/>
    </font>
    <font>
      <sz val="14"/>
      <color theme="1"/>
      <name val="Montserrat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4"/>
      <color theme="1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11"/>
      <color rgb="FF000000"/>
      <name val="Arial"/>
      <family val="2"/>
    </font>
    <font>
      <b/>
      <sz val="12"/>
      <name val="Montserrat"/>
    </font>
    <font>
      <b/>
      <sz val="12"/>
      <color theme="1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10"/>
      <name val="Arial"/>
      <family val="2"/>
    </font>
    <font>
      <sz val="16"/>
      <color theme="1"/>
      <name val="Montserrat"/>
    </font>
    <font>
      <b/>
      <sz val="9"/>
      <color theme="1"/>
      <name val="Calibri"/>
      <family val="2"/>
      <scheme val="minor"/>
    </font>
    <font>
      <b/>
      <sz val="8"/>
      <color rgb="FFCC0099"/>
      <name val="Montserrat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sz val="16"/>
      <name val="Montserrat"/>
    </font>
    <font>
      <b/>
      <sz val="16"/>
      <color rgb="FF00B050"/>
      <name val="Montserrat"/>
    </font>
    <font>
      <sz val="12"/>
      <name val="Montserrat"/>
    </font>
    <font>
      <b/>
      <sz val="24"/>
      <name val="Montserrat"/>
    </font>
    <font>
      <sz val="20"/>
      <name val="Montserrat"/>
    </font>
    <font>
      <sz val="12"/>
      <color theme="1"/>
      <name val="Montserrat"/>
    </font>
    <font>
      <b/>
      <sz val="16"/>
      <color indexed="8"/>
      <name val="Montserrat"/>
    </font>
    <font>
      <b/>
      <sz val="16"/>
      <color rgb="FF000000"/>
      <name val="Montserrat"/>
    </font>
    <font>
      <sz val="16"/>
      <color rgb="FF000000"/>
      <name val="Montserrat"/>
    </font>
    <font>
      <b/>
      <i/>
      <sz val="16"/>
      <color rgb="FFFF0000"/>
      <name val="Montserrat"/>
    </font>
    <font>
      <sz val="16"/>
      <color rgb="FFFF0000"/>
      <name val="Montserrat"/>
    </font>
    <font>
      <b/>
      <sz val="16"/>
      <color rgb="FFFF0000"/>
      <name val="Montserrat"/>
    </font>
    <font>
      <sz val="24"/>
      <name val="Montserrat"/>
    </font>
    <font>
      <b/>
      <sz val="18"/>
      <name val="Arial"/>
      <family val="2"/>
    </font>
    <font>
      <b/>
      <sz val="14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trike/>
      <sz val="10"/>
      <name val="Arial"/>
      <family val="2"/>
    </font>
    <font>
      <b/>
      <i/>
      <sz val="9"/>
      <color rgb="FFFF0000"/>
      <name val="Arial"/>
      <family val="2"/>
    </font>
    <font>
      <i/>
      <sz val="12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20"/>
      <name val="Arial"/>
      <family val="2"/>
    </font>
    <font>
      <b/>
      <sz val="16"/>
      <color indexed="8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434">
    <xf numFmtId="0" fontId="0" fillId="0" borderId="0" xfId="0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vertical="justify"/>
    </xf>
    <xf numFmtId="0" fontId="8" fillId="0" borderId="0" xfId="0" applyFont="1" applyFill="1" applyBorder="1" applyAlignment="1">
      <alignment horizontal="justify" vertical="center"/>
    </xf>
    <xf numFmtId="0" fontId="12" fillId="0" borderId="0" xfId="0" applyFont="1" applyFill="1"/>
    <xf numFmtId="0" fontId="12" fillId="0" borderId="0" xfId="0" applyFont="1" applyFill="1" applyBorder="1" applyAlignment="1">
      <alignment horizontal="justify" vertical="center"/>
    </xf>
    <xf numFmtId="0" fontId="12" fillId="0" borderId="0" xfId="0" quotePrefix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top" wrapText="1"/>
    </xf>
    <xf numFmtId="3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0" xfId="0" applyFont="1" applyFill="1" applyProtection="1"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23" fillId="0" borderId="0" xfId="0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Fill="1" applyProtection="1">
      <protection locked="0"/>
    </xf>
    <xf numFmtId="0" fontId="18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Fill="1" applyBorder="1"/>
    <xf numFmtId="0" fontId="19" fillId="0" borderId="0" xfId="0" applyFont="1" applyFill="1" applyBorder="1"/>
    <xf numFmtId="0" fontId="19" fillId="0" borderId="0" xfId="0" applyFont="1" applyFill="1"/>
    <xf numFmtId="0" fontId="18" fillId="0" borderId="0" xfId="0" applyFont="1" applyFill="1" applyBorder="1" applyAlignment="1">
      <alignment vertical="justify"/>
    </xf>
    <xf numFmtId="0" fontId="20" fillId="0" borderId="0" xfId="0" applyFont="1" applyFill="1" applyBorder="1" applyAlignment="1">
      <alignment vertical="justify"/>
    </xf>
    <xf numFmtId="0" fontId="18" fillId="0" borderId="0" xfId="0" applyFont="1" applyFill="1" applyBorder="1" applyAlignment="1" applyProtection="1">
      <alignment vertical="center"/>
      <protection locked="0"/>
    </xf>
    <xf numFmtId="0" fontId="18" fillId="0" borderId="0" xfId="0" applyFont="1" applyFill="1" applyBorder="1" applyAlignment="1"/>
    <xf numFmtId="0" fontId="21" fillId="0" borderId="0" xfId="0" applyFont="1" applyFill="1" applyBorder="1" applyAlignment="1">
      <alignment horizontal="justify" vertical="center"/>
    </xf>
    <xf numFmtId="0" fontId="21" fillId="0" borderId="0" xfId="0" applyFont="1" applyFill="1"/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164" fontId="20" fillId="0" borderId="0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21" fillId="0" borderId="0" xfId="0" applyFont="1" applyBorder="1"/>
    <xf numFmtId="0" fontId="21" fillId="0" borderId="0" xfId="0" applyFont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 wrapText="1"/>
    </xf>
    <xf numFmtId="0" fontId="21" fillId="0" borderId="0" xfId="0" applyFont="1" applyFill="1" applyAlignment="1">
      <alignment horizontal="justify" vertical="top" wrapText="1"/>
    </xf>
    <xf numFmtId="3" fontId="20" fillId="0" borderId="0" xfId="0" applyNumberFormat="1" applyFont="1" applyFill="1" applyBorder="1" applyAlignment="1">
      <alignment horizontal="right" vertical="center"/>
    </xf>
    <xf numFmtId="4" fontId="20" fillId="0" borderId="0" xfId="0" applyNumberFormat="1" applyFont="1" applyFill="1" applyBorder="1" applyAlignment="1">
      <alignment horizontal="right" vertical="center"/>
    </xf>
    <xf numFmtId="9" fontId="21" fillId="0" borderId="0" xfId="2" applyFont="1" applyFill="1" applyAlignment="1">
      <alignment horizontal="center" vertical="center"/>
    </xf>
    <xf numFmtId="14" fontId="21" fillId="0" borderId="0" xfId="0" applyNumberFormat="1" applyFont="1" applyFill="1" applyAlignment="1">
      <alignment horizontal="center" vertical="center"/>
    </xf>
    <xf numFmtId="0" fontId="23" fillId="0" borderId="0" xfId="0" applyFont="1" applyFill="1"/>
    <xf numFmtId="0" fontId="24" fillId="0" borderId="0" xfId="0" applyFont="1"/>
    <xf numFmtId="0" fontId="22" fillId="0" borderId="0" xfId="0" applyFont="1" applyFill="1" applyProtection="1">
      <protection locked="0"/>
    </xf>
    <xf numFmtId="0" fontId="25" fillId="0" borderId="0" xfId="0" applyFont="1" applyFill="1" applyBorder="1" applyAlignment="1" applyProtection="1">
      <alignment vertical="center"/>
      <protection locked="0"/>
    </xf>
    <xf numFmtId="0" fontId="26" fillId="0" borderId="0" xfId="0" applyFont="1" applyFill="1"/>
    <xf numFmtId="0" fontId="25" fillId="0" borderId="0" xfId="0" applyFont="1" applyFill="1" applyBorder="1" applyAlignment="1">
      <alignment vertical="justify"/>
    </xf>
    <xf numFmtId="0" fontId="27" fillId="0" borderId="3" xfId="0" applyFont="1" applyBorder="1" applyAlignment="1">
      <alignment vertical="center"/>
    </xf>
    <xf numFmtId="4" fontId="18" fillId="0" borderId="0" xfId="0" applyNumberFormat="1" applyFont="1" applyFill="1" applyBorder="1" applyAlignment="1" applyProtection="1">
      <alignment horizontal="right" vertical="center"/>
      <protection locked="0"/>
    </xf>
    <xf numFmtId="0" fontId="6" fillId="4" borderId="0" xfId="5" applyFont="1" applyFill="1" applyAlignment="1">
      <alignment horizontal="centerContinuous"/>
    </xf>
    <xf numFmtId="0" fontId="33" fillId="5" borderId="0" xfId="5" applyFont="1" applyFill="1"/>
    <xf numFmtId="0" fontId="1" fillId="0" borderId="0" xfId="5"/>
    <xf numFmtId="0" fontId="5" fillId="4" borderId="0" xfId="5" applyFont="1" applyFill="1" applyAlignment="1">
      <alignment horizontal="centerContinuous"/>
    </xf>
    <xf numFmtId="0" fontId="30" fillId="5" borderId="0" xfId="5" applyFont="1" applyFill="1"/>
    <xf numFmtId="0" fontId="1" fillId="0" borderId="0" xfId="5" quotePrefix="1"/>
    <xf numFmtId="0" fontId="30" fillId="0" borderId="0" xfId="5" applyFont="1"/>
    <xf numFmtId="0" fontId="34" fillId="0" borderId="0" xfId="5" quotePrefix="1" applyFont="1"/>
    <xf numFmtId="0" fontId="31" fillId="2" borderId="32" xfId="5" applyFont="1" applyFill="1" applyBorder="1"/>
    <xf numFmtId="0" fontId="31" fillId="2" borderId="33" xfId="5" applyFont="1" applyFill="1" applyBorder="1" applyAlignment="1">
      <alignment horizontal="center"/>
    </xf>
    <xf numFmtId="0" fontId="35" fillId="2" borderId="32" xfId="5" applyFont="1" applyFill="1" applyBorder="1" applyAlignment="1">
      <alignment horizontal="center"/>
    </xf>
    <xf numFmtId="0" fontId="31" fillId="3" borderId="0" xfId="5" applyFont="1" applyFill="1" applyAlignment="1">
      <alignment horizontal="center"/>
    </xf>
    <xf numFmtId="0" fontId="30" fillId="6" borderId="0" xfId="5" applyFont="1" applyFill="1"/>
    <xf numFmtId="0" fontId="35" fillId="6" borderId="0" xfId="5" applyFont="1" applyFill="1"/>
    <xf numFmtId="0" fontId="1" fillId="6" borderId="0" xfId="5" applyFill="1"/>
    <xf numFmtId="0" fontId="36" fillId="6" borderId="0" xfId="5" applyFont="1" applyFill="1"/>
    <xf numFmtId="0" fontId="36" fillId="3" borderId="0" xfId="5" applyFont="1" applyFill="1"/>
    <xf numFmtId="0" fontId="36" fillId="0" borderId="0" xfId="5" applyFont="1"/>
    <xf numFmtId="0" fontId="1" fillId="5" borderId="0" xfId="5" applyFill="1"/>
    <xf numFmtId="0" fontId="1" fillId="3" borderId="0" xfId="5" applyFill="1"/>
    <xf numFmtId="0" fontId="16" fillId="0" borderId="0" xfId="0" applyFont="1" applyFill="1" applyAlignment="1" applyProtection="1">
      <alignment vertical="center"/>
      <protection locked="0"/>
    </xf>
    <xf numFmtId="0" fontId="17" fillId="0" borderId="0" xfId="0" applyFont="1" applyFill="1" applyAlignment="1" applyProtection="1">
      <alignment vertical="center"/>
      <protection locked="0"/>
    </xf>
    <xf numFmtId="0" fontId="32" fillId="0" borderId="0" xfId="0" applyFont="1" applyFill="1" applyAlignment="1" applyProtection="1">
      <alignment vertical="center"/>
      <protection locked="0"/>
    </xf>
    <xf numFmtId="0" fontId="37" fillId="0" borderId="0" xfId="0" applyFont="1" applyFill="1" applyAlignment="1" applyProtection="1">
      <alignment vertical="center"/>
      <protection locked="0"/>
    </xf>
    <xf numFmtId="0" fontId="38" fillId="0" borderId="0" xfId="0" applyFont="1" applyAlignment="1">
      <alignment horizontal="center" vertical="center"/>
    </xf>
    <xf numFmtId="0" fontId="39" fillId="0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44" fillId="0" borderId="0" xfId="0" applyFont="1"/>
    <xf numFmtId="0" fontId="11" fillId="0" borderId="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justify" vertical="center" wrapText="1"/>
    </xf>
    <xf numFmtId="3" fontId="41" fillId="0" borderId="2" xfId="0" applyNumberFormat="1" applyFont="1" applyBorder="1" applyAlignment="1">
      <alignment horizontal="center" vertical="center" wrapText="1"/>
    </xf>
    <xf numFmtId="3" fontId="41" fillId="0" borderId="25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165" fontId="41" fillId="0" borderId="2" xfId="1" applyNumberFormat="1" applyFont="1" applyFill="1" applyBorder="1" applyAlignment="1">
      <alignment horizontal="center" vertical="center" wrapText="1"/>
    </xf>
    <xf numFmtId="3" fontId="41" fillId="0" borderId="24" xfId="0" applyNumberFormat="1" applyFont="1" applyBorder="1" applyAlignment="1">
      <alignment horizontal="center" vertical="center" wrapText="1"/>
    </xf>
    <xf numFmtId="0" fontId="44" fillId="0" borderId="0" xfId="0" applyFont="1" applyBorder="1"/>
    <xf numFmtId="0" fontId="41" fillId="0" borderId="0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justify" vertical="center" wrapText="1"/>
    </xf>
    <xf numFmtId="3" fontId="9" fillId="0" borderId="0" xfId="0" applyNumberFormat="1" applyFont="1" applyBorder="1" applyAlignment="1">
      <alignment horizontal="right" vertical="center"/>
    </xf>
    <xf numFmtId="3" fontId="28" fillId="0" borderId="23" xfId="0" applyNumberFormat="1" applyFont="1" applyBorder="1" applyAlignment="1">
      <alignment horizontal="center" vertical="center" wrapText="1"/>
    </xf>
    <xf numFmtId="3" fontId="41" fillId="0" borderId="26" xfId="0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165" fontId="41" fillId="0" borderId="0" xfId="1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top" wrapText="1"/>
    </xf>
    <xf numFmtId="3" fontId="28" fillId="0" borderId="0" xfId="0" applyNumberFormat="1" applyFont="1" applyFill="1" applyBorder="1" applyAlignment="1">
      <alignment horizontal="center" vertical="center" wrapText="1"/>
    </xf>
    <xf numFmtId="0" fontId="44" fillId="0" borderId="1" xfId="0" applyFont="1" applyBorder="1"/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justify" vertical="center" wrapText="1"/>
    </xf>
    <xf numFmtId="3" fontId="9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165" fontId="41" fillId="0" borderId="1" xfId="1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3" fontId="41" fillId="7" borderId="2" xfId="0" applyNumberFormat="1" applyFont="1" applyFill="1" applyBorder="1" applyAlignment="1">
      <alignment horizontal="center" vertical="center" wrapText="1"/>
    </xf>
    <xf numFmtId="3" fontId="41" fillId="0" borderId="2" xfId="0" applyNumberFormat="1" applyFont="1" applyBorder="1" applyAlignment="1">
      <alignment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3" fontId="41" fillId="0" borderId="2" xfId="0" applyNumberFormat="1" applyFont="1" applyBorder="1" applyAlignment="1">
      <alignment vertical="center" wrapText="1"/>
    </xf>
    <xf numFmtId="3" fontId="41" fillId="7" borderId="2" xfId="0" applyNumberFormat="1" applyFont="1" applyFill="1" applyBorder="1" applyAlignment="1">
      <alignment vertical="center" wrapText="1"/>
    </xf>
    <xf numFmtId="3" fontId="41" fillId="0" borderId="25" xfId="0" applyNumberFormat="1" applyFont="1" applyFill="1" applyBorder="1" applyAlignment="1">
      <alignment vertical="center" wrapText="1"/>
    </xf>
    <xf numFmtId="3" fontId="41" fillId="3" borderId="2" xfId="0" applyNumberFormat="1" applyFont="1" applyFill="1" applyBorder="1" applyAlignment="1">
      <alignment vertical="center"/>
    </xf>
    <xf numFmtId="165" fontId="41" fillId="3" borderId="2" xfId="1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justify" vertical="top" wrapText="1"/>
    </xf>
    <xf numFmtId="3" fontId="29" fillId="2" borderId="2" xfId="0" applyNumberFormat="1" applyFont="1" applyFill="1" applyBorder="1" applyAlignment="1">
      <alignment horizontal="right" vertical="center"/>
    </xf>
    <xf numFmtId="3" fontId="29" fillId="0" borderId="25" xfId="0" applyNumberFormat="1" applyFont="1" applyFill="1" applyBorder="1" applyAlignment="1">
      <alignment horizontal="right" vertical="center"/>
    </xf>
    <xf numFmtId="14" fontId="44" fillId="0" borderId="0" xfId="0" applyNumberFormat="1" applyFont="1" applyAlignment="1">
      <alignment horizontal="center" vertical="center"/>
    </xf>
    <xf numFmtId="0" fontId="45" fillId="0" borderId="0" xfId="0" applyFont="1" applyFill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vertical="center"/>
      <protection locked="0"/>
    </xf>
    <xf numFmtId="0" fontId="33" fillId="0" borderId="0" xfId="0" applyFont="1" applyFill="1" applyAlignment="1" applyProtection="1">
      <alignment vertical="center"/>
      <protection locked="0"/>
    </xf>
    <xf numFmtId="0" fontId="33" fillId="0" borderId="0" xfId="0" quotePrefix="1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46" fillId="0" borderId="0" xfId="0" applyFont="1" applyAlignment="1">
      <alignment vertical="center"/>
    </xf>
    <xf numFmtId="0" fontId="33" fillId="0" borderId="0" xfId="0" applyFont="1" applyFill="1" applyProtection="1">
      <protection locked="0"/>
    </xf>
    <xf numFmtId="0" fontId="33" fillId="0" borderId="0" xfId="0" applyFont="1" applyFill="1" applyBorder="1" applyProtection="1">
      <protection locked="0"/>
    </xf>
    <xf numFmtId="0" fontId="44" fillId="0" borderId="0" xfId="0" applyFont="1" applyFill="1" applyProtection="1">
      <protection locked="0"/>
    </xf>
    <xf numFmtId="0" fontId="29" fillId="0" borderId="0" xfId="0" applyFont="1" applyBorder="1" applyAlignment="1" applyProtection="1">
      <alignment vertical="center"/>
      <protection locked="0"/>
    </xf>
    <xf numFmtId="0" fontId="29" fillId="0" borderId="0" xfId="0" applyFont="1" applyBorder="1" applyAlignment="1" applyProtection="1">
      <alignment horizontal="left" vertical="center"/>
      <protection locked="0"/>
    </xf>
    <xf numFmtId="4" fontId="28" fillId="0" borderId="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14" fillId="0" borderId="0" xfId="0" applyFont="1" applyFill="1" applyProtection="1"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10" fillId="0" borderId="0" xfId="0" applyFont="1" applyFill="1" applyAlignment="1" applyProtection="1">
      <alignment horizontal="left"/>
      <protection locked="0"/>
    </xf>
    <xf numFmtId="0" fontId="47" fillId="0" borderId="0" xfId="0" applyFont="1" applyAlignment="1">
      <alignment vertical="center"/>
    </xf>
    <xf numFmtId="0" fontId="29" fillId="0" borderId="0" xfId="0" applyFont="1" applyFill="1" applyAlignment="1" applyProtection="1">
      <alignment horizontal="center"/>
      <protection locked="0"/>
    </xf>
    <xf numFmtId="0" fontId="29" fillId="0" borderId="0" xfId="0" applyFont="1" applyProtection="1">
      <protection locked="0"/>
    </xf>
    <xf numFmtId="0" fontId="44" fillId="0" borderId="0" xfId="0" applyFont="1" applyFill="1" applyBorder="1" applyProtection="1">
      <protection locked="0"/>
    </xf>
    <xf numFmtId="0" fontId="48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0" fontId="49" fillId="0" borderId="0" xfId="0" applyFont="1" applyProtection="1">
      <protection locked="0"/>
    </xf>
    <xf numFmtId="3" fontId="50" fillId="0" borderId="0" xfId="0" applyNumberFormat="1" applyFont="1" applyAlignment="1" applyProtection="1">
      <alignment horizontal="center" vertical="center"/>
      <protection locked="0"/>
    </xf>
    <xf numFmtId="0" fontId="47" fillId="0" borderId="3" xfId="0" applyFont="1" applyBorder="1" applyAlignment="1">
      <alignment vertical="center"/>
    </xf>
    <xf numFmtId="0" fontId="6" fillId="0" borderId="3" xfId="0" applyFont="1" applyBorder="1" applyAlignment="1" applyProtection="1">
      <alignment horizontal="center"/>
      <protection locked="0"/>
    </xf>
    <xf numFmtId="0" fontId="50" fillId="0" borderId="3" xfId="0" applyFont="1" applyBorder="1" applyAlignment="1" applyProtection="1">
      <alignment horizontal="center"/>
      <protection locked="0"/>
    </xf>
    <xf numFmtId="0" fontId="49" fillId="0" borderId="3" xfId="0" applyFont="1" applyBorder="1" applyProtection="1">
      <protection locked="0"/>
    </xf>
    <xf numFmtId="0" fontId="33" fillId="0" borderId="3" xfId="0" applyFont="1" applyBorder="1" applyProtection="1">
      <protection locked="0"/>
    </xf>
    <xf numFmtId="0" fontId="33" fillId="0" borderId="3" xfId="0" applyFont="1" applyBorder="1" applyAlignment="1" applyProtection="1">
      <alignment vertical="center"/>
      <protection locked="0"/>
    </xf>
    <xf numFmtId="0" fontId="44" fillId="0" borderId="0" xfId="0" applyFont="1" applyAlignment="1">
      <alignment wrapText="1"/>
    </xf>
    <xf numFmtId="0" fontId="44" fillId="0" borderId="0" xfId="0" applyFont="1" applyFill="1" applyBorder="1"/>
    <xf numFmtId="0" fontId="44" fillId="0" borderId="0" xfId="0" applyFont="1" applyAlignment="1">
      <alignment horizontal="center"/>
    </xf>
    <xf numFmtId="0" fontId="41" fillId="0" borderId="0" xfId="0" applyFont="1" applyFill="1" applyBorder="1"/>
    <xf numFmtId="0" fontId="41" fillId="0" borderId="0" xfId="0" applyFont="1" applyFill="1"/>
    <xf numFmtId="0" fontId="28" fillId="0" borderId="0" xfId="0" applyFont="1" applyFill="1" applyBorder="1" applyAlignment="1">
      <alignment vertical="justify"/>
    </xf>
    <xf numFmtId="0" fontId="29" fillId="0" borderId="0" xfId="0" applyFont="1" applyFill="1" applyBorder="1" applyAlignment="1">
      <alignment vertical="justify"/>
    </xf>
    <xf numFmtId="0" fontId="28" fillId="0" borderId="0" xfId="0" applyFont="1" applyFill="1" applyBorder="1" applyAlignment="1" applyProtection="1">
      <alignment vertical="center"/>
      <protection locked="0"/>
    </xf>
    <xf numFmtId="0" fontId="42" fillId="0" borderId="0" xfId="0" applyFont="1" applyFill="1" applyBorder="1" applyAlignment="1" applyProtection="1">
      <alignment vertical="center"/>
      <protection locked="0"/>
    </xf>
    <xf numFmtId="0" fontId="51" fillId="0" borderId="0" xfId="0" applyFont="1" applyFill="1"/>
    <xf numFmtId="0" fontId="42" fillId="0" borderId="0" xfId="0" applyFont="1" applyFill="1" applyBorder="1" applyAlignment="1">
      <alignment vertical="justify"/>
    </xf>
    <xf numFmtId="0" fontId="28" fillId="0" borderId="0" xfId="0" applyFont="1" applyFill="1" applyBorder="1" applyAlignment="1"/>
    <xf numFmtId="0" fontId="39" fillId="0" borderId="0" xfId="0" applyFont="1" applyFill="1"/>
    <xf numFmtId="0" fontId="39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justify" vertical="center"/>
    </xf>
    <xf numFmtId="0" fontId="44" fillId="0" borderId="0" xfId="0" applyFont="1" applyFill="1"/>
    <xf numFmtId="0" fontId="29" fillId="0" borderId="0" xfId="0" applyFont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Fill="1" applyBorder="1" applyAlignment="1">
      <alignment horizontal="left"/>
    </xf>
    <xf numFmtId="164" fontId="29" fillId="0" borderId="0" xfId="0" applyNumberFormat="1" applyFont="1" applyBorder="1" applyAlignment="1">
      <alignment horizontal="center" vertical="center"/>
    </xf>
    <xf numFmtId="3" fontId="41" fillId="0" borderId="2" xfId="2" applyNumberFormat="1" applyFont="1" applyFill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/>
    </xf>
    <xf numFmtId="3" fontId="41" fillId="0" borderId="0" xfId="2" applyNumberFormat="1" applyFont="1" applyFill="1" applyBorder="1" applyAlignment="1">
      <alignment horizontal="center" vertical="center"/>
    </xf>
    <xf numFmtId="3" fontId="41" fillId="0" borderId="0" xfId="0" applyNumberFormat="1" applyFont="1" applyBorder="1" applyAlignment="1">
      <alignment horizontal="center" vertical="center"/>
    </xf>
    <xf numFmtId="3" fontId="41" fillId="0" borderId="1" xfId="2" applyNumberFormat="1" applyFont="1" applyFill="1" applyBorder="1" applyAlignment="1">
      <alignment horizontal="center" vertical="center"/>
    </xf>
    <xf numFmtId="3" fontId="41" fillId="0" borderId="1" xfId="0" applyNumberFormat="1" applyFont="1" applyBorder="1" applyAlignment="1">
      <alignment horizontal="center" vertical="center"/>
    </xf>
    <xf numFmtId="3" fontId="44" fillId="0" borderId="0" xfId="2" applyNumberFormat="1" applyFont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0" fontId="44" fillId="0" borderId="0" xfId="0" applyFont="1" applyFill="1" applyAlignment="1">
      <alignment vertical="center" wrapText="1"/>
    </xf>
    <xf numFmtId="0" fontId="44" fillId="0" borderId="0" xfId="0" applyFont="1" applyFill="1" applyAlignment="1">
      <alignment horizontal="justify" vertical="top" wrapText="1"/>
    </xf>
    <xf numFmtId="3" fontId="29" fillId="0" borderId="0" xfId="0" applyNumberFormat="1" applyFont="1" applyFill="1" applyBorder="1" applyAlignment="1">
      <alignment horizontal="right" vertical="center"/>
    </xf>
    <xf numFmtId="4" fontId="29" fillId="0" borderId="0" xfId="0" applyNumberFormat="1" applyFont="1" applyFill="1" applyBorder="1" applyAlignment="1">
      <alignment horizontal="right" vertical="center"/>
    </xf>
    <xf numFmtId="9" fontId="44" fillId="0" borderId="0" xfId="2" applyFont="1" applyFill="1" applyAlignment="1">
      <alignment horizontal="center" vertical="center"/>
    </xf>
    <xf numFmtId="14" fontId="44" fillId="0" borderId="0" xfId="0" applyNumberFormat="1" applyFont="1" applyFill="1" applyAlignment="1">
      <alignment horizontal="center" vertical="center"/>
    </xf>
    <xf numFmtId="0" fontId="8" fillId="0" borderId="13" xfId="0" applyFont="1" applyFill="1" applyBorder="1"/>
    <xf numFmtId="0" fontId="8" fillId="0" borderId="14" xfId="0" applyFont="1" applyFill="1" applyBorder="1"/>
    <xf numFmtId="0" fontId="8" fillId="0" borderId="15" xfId="0" applyFont="1" applyFill="1" applyBorder="1"/>
    <xf numFmtId="0" fontId="8" fillId="0" borderId="16" xfId="0" applyFont="1" applyFill="1" applyBorder="1"/>
    <xf numFmtId="0" fontId="52" fillId="0" borderId="0" xfId="0" applyFont="1" applyFill="1" applyBorder="1" applyAlignment="1">
      <alignment vertical="justify"/>
    </xf>
    <xf numFmtId="0" fontId="53" fillId="0" borderId="0" xfId="0" applyFont="1" applyFill="1" applyBorder="1" applyAlignment="1">
      <alignment vertical="justify"/>
    </xf>
    <xf numFmtId="0" fontId="54" fillId="0" borderId="0" xfId="0" applyFont="1" applyFill="1" applyBorder="1" applyAlignment="1">
      <alignment vertical="justify"/>
    </xf>
    <xf numFmtId="0" fontId="16" fillId="0" borderId="0" xfId="0" applyFont="1" applyFill="1" applyBorder="1" applyAlignment="1" applyProtection="1">
      <alignment vertical="justify"/>
      <protection locked="0"/>
    </xf>
    <xf numFmtId="0" fontId="8" fillId="0" borderId="16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55" fillId="0" borderId="16" xfId="0" applyFont="1" applyFill="1" applyBorder="1" applyAlignment="1"/>
    <xf numFmtId="0" fontId="55" fillId="0" borderId="0" xfId="0" applyFont="1" applyFill="1" applyBorder="1" applyAlignment="1"/>
    <xf numFmtId="0" fontId="55" fillId="0" borderId="3" xfId="0" applyFont="1" applyFill="1" applyBorder="1" applyAlignment="1">
      <alignment horizontal="center"/>
    </xf>
    <xf numFmtId="0" fontId="55" fillId="0" borderId="3" xfId="0" applyFont="1" applyFill="1" applyBorder="1" applyAlignment="1"/>
    <xf numFmtId="0" fontId="55" fillId="0" borderId="0" xfId="0" applyFont="1" applyFill="1" applyBorder="1" applyAlignment="1">
      <alignment horizontal="center"/>
    </xf>
    <xf numFmtId="0" fontId="55" fillId="0" borderId="17" xfId="0" applyFont="1" applyFill="1" applyBorder="1" applyAlignment="1"/>
    <xf numFmtId="0" fontId="12" fillId="0" borderId="18" xfId="0" applyFont="1" applyFill="1" applyBorder="1"/>
    <xf numFmtId="0" fontId="12" fillId="0" borderId="19" xfId="0" applyFont="1" applyFill="1" applyBorder="1"/>
    <xf numFmtId="0" fontId="12" fillId="0" borderId="20" xfId="0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/>
    </xf>
    <xf numFmtId="0" fontId="3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3" fontId="55" fillId="2" borderId="12" xfId="0" applyNumberFormat="1" applyFont="1" applyFill="1" applyBorder="1" applyAlignment="1" applyProtection="1">
      <alignment horizontal="right" vertical="center" wrapText="1"/>
      <protection locked="0"/>
    </xf>
    <xf numFmtId="4" fontId="55" fillId="0" borderId="28" xfId="0" applyNumberFormat="1" applyFont="1" applyFill="1" applyBorder="1" applyAlignment="1" applyProtection="1">
      <alignment horizontal="right" vertical="center" wrapText="1"/>
      <protection locked="0"/>
    </xf>
    <xf numFmtId="3" fontId="55" fillId="2" borderId="2" xfId="0" applyNumberFormat="1" applyFont="1" applyFill="1" applyBorder="1" applyAlignment="1" applyProtection="1">
      <alignment horizontal="right" vertical="center" wrapText="1"/>
      <protection locked="0"/>
    </xf>
    <xf numFmtId="0" fontId="57" fillId="0" borderId="12" xfId="0" applyFont="1" applyFill="1" applyBorder="1" applyAlignment="1">
      <alignment horizontal="left" vertical="center"/>
    </xf>
    <xf numFmtId="0" fontId="57" fillId="0" borderId="21" xfId="0" applyFont="1" applyFill="1" applyBorder="1" applyAlignment="1">
      <alignment horizontal="left" vertical="center"/>
    </xf>
    <xf numFmtId="3" fontId="55" fillId="0" borderId="12" xfId="0" applyNumberFormat="1" applyFont="1" applyFill="1" applyBorder="1" applyAlignment="1" applyProtection="1">
      <alignment horizontal="right" vertical="center" wrapText="1"/>
      <protection locked="0"/>
    </xf>
    <xf numFmtId="3" fontId="55" fillId="0" borderId="2" xfId="0" applyNumberFormat="1" applyFont="1" applyFill="1" applyBorder="1" applyAlignment="1" applyProtection="1">
      <alignment horizontal="right" vertical="center" wrapText="1"/>
      <protection locked="0"/>
    </xf>
    <xf numFmtId="0" fontId="56" fillId="2" borderId="12" xfId="0" applyFont="1" applyFill="1" applyBorder="1" applyAlignment="1">
      <alignment horizontal="left" vertical="center"/>
    </xf>
    <xf numFmtId="0" fontId="24" fillId="2" borderId="21" xfId="0" applyFont="1" applyFill="1" applyBorder="1" applyAlignment="1">
      <alignment horizontal="left" vertical="center"/>
    </xf>
    <xf numFmtId="3" fontId="55" fillId="0" borderId="22" xfId="0" applyNumberFormat="1" applyFont="1" applyFill="1" applyBorder="1" applyAlignment="1" applyProtection="1">
      <alignment horizontal="right" vertical="center" wrapText="1"/>
      <protection locked="0"/>
    </xf>
    <xf numFmtId="4" fontId="55" fillId="0" borderId="0" xfId="0" applyNumberFormat="1" applyFont="1" applyFill="1" applyBorder="1" applyAlignment="1" applyProtection="1">
      <alignment horizontal="right" vertical="center" wrapText="1"/>
      <protection locked="0"/>
    </xf>
    <xf numFmtId="4" fontId="55" fillId="0" borderId="25" xfId="0" applyNumberFormat="1" applyFont="1" applyFill="1" applyBorder="1" applyAlignment="1" applyProtection="1">
      <alignment horizontal="right" vertical="center" wrapText="1"/>
      <protection locked="0"/>
    </xf>
    <xf numFmtId="0" fontId="59" fillId="0" borderId="0" xfId="0" applyFont="1" applyFill="1" applyBorder="1" applyAlignment="1">
      <alignment horizontal="left" vertical="center"/>
    </xf>
    <xf numFmtId="4" fontId="32" fillId="0" borderId="0" xfId="0" applyNumberFormat="1" applyFont="1" applyFill="1" applyBorder="1" applyAlignment="1">
      <alignment horizontal="right" vertical="center" wrapText="1"/>
    </xf>
    <xf numFmtId="3" fontId="32" fillId="0" borderId="0" xfId="0" applyNumberFormat="1" applyFont="1" applyFill="1" applyBorder="1" applyAlignment="1">
      <alignment horizontal="right" vertical="center" wrapText="1"/>
    </xf>
    <xf numFmtId="4" fontId="53" fillId="0" borderId="0" xfId="0" applyNumberFormat="1" applyFont="1" applyFill="1" applyBorder="1" applyAlignment="1">
      <alignment horizontal="right" vertical="center"/>
    </xf>
    <xf numFmtId="4" fontId="53" fillId="0" borderId="0" xfId="0" applyNumberFormat="1" applyFont="1" applyFill="1" applyBorder="1" applyAlignment="1">
      <alignment horizontal="right" vertical="center" wrapText="1"/>
    </xf>
    <xf numFmtId="3" fontId="53" fillId="0" borderId="23" xfId="0" applyNumberFormat="1" applyFont="1" applyFill="1" applyBorder="1" applyAlignment="1" applyProtection="1">
      <alignment horizontal="right" vertical="center" wrapText="1"/>
      <protection locked="0"/>
    </xf>
    <xf numFmtId="0" fontId="19" fillId="0" borderId="0" xfId="0" applyFont="1" applyFill="1" applyAlignment="1" applyProtection="1">
      <alignment horizontal="left" vertical="center"/>
      <protection locked="0"/>
    </xf>
    <xf numFmtId="0" fontId="57" fillId="0" borderId="0" xfId="0" applyFont="1" applyAlignment="1" applyProtection="1">
      <alignment horizontal="left"/>
      <protection locked="0"/>
    </xf>
    <xf numFmtId="0" fontId="12" fillId="0" borderId="0" xfId="0" quotePrefix="1" applyFont="1" applyFill="1" applyBorder="1" applyAlignment="1" applyProtection="1">
      <alignment horizontal="center" vertical="center"/>
      <protection locked="0"/>
    </xf>
    <xf numFmtId="0" fontId="58" fillId="0" borderId="0" xfId="0" applyFont="1" applyFill="1"/>
    <xf numFmtId="0" fontId="8" fillId="0" borderId="0" xfId="0" applyFont="1"/>
    <xf numFmtId="0" fontId="57" fillId="0" borderId="0" xfId="0" applyFont="1" applyProtection="1">
      <protection locked="0"/>
    </xf>
    <xf numFmtId="0" fontId="60" fillId="0" borderId="0" xfId="0" applyFont="1" applyAlignment="1">
      <alignment vertical="center"/>
    </xf>
    <xf numFmtId="0" fontId="61" fillId="0" borderId="0" xfId="0" applyFont="1"/>
    <xf numFmtId="3" fontId="62" fillId="0" borderId="0" xfId="0" applyNumberFormat="1" applyFont="1" applyAlignment="1">
      <alignment vertical="center"/>
    </xf>
    <xf numFmtId="3" fontId="64" fillId="0" borderId="0" xfId="0" applyNumberFormat="1" applyFont="1" applyAlignment="1">
      <alignment vertical="center"/>
    </xf>
    <xf numFmtId="0" fontId="12" fillId="0" borderId="0" xfId="0" applyFont="1" applyProtection="1">
      <protection locked="0"/>
    </xf>
    <xf numFmtId="0" fontId="65" fillId="0" borderId="0" xfId="0" applyFont="1" applyProtection="1">
      <protection locked="0"/>
    </xf>
    <xf numFmtId="3" fontId="66" fillId="0" borderId="0" xfId="0" applyNumberFormat="1" applyFont="1" applyAlignment="1" applyProtection="1">
      <alignment horizontal="center" vertical="center"/>
      <protection locked="0"/>
    </xf>
    <xf numFmtId="3" fontId="67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65" fillId="0" borderId="0" xfId="0" applyFont="1"/>
    <xf numFmtId="0" fontId="15" fillId="0" borderId="3" xfId="0" applyFont="1" applyBorder="1" applyAlignment="1" applyProtection="1">
      <alignment horizontal="center"/>
      <protection locked="0"/>
    </xf>
    <xf numFmtId="0" fontId="66" fillId="0" borderId="3" xfId="0" applyFont="1" applyBorder="1" applyAlignment="1" applyProtection="1">
      <alignment horizontal="center"/>
      <protection locked="0"/>
    </xf>
    <xf numFmtId="0" fontId="65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2" fillId="0" borderId="3" xfId="0" applyFont="1" applyBorder="1" applyAlignment="1" applyProtection="1">
      <alignment vertical="center"/>
      <protection locked="0"/>
    </xf>
    <xf numFmtId="0" fontId="65" fillId="0" borderId="0" xfId="0" applyFont="1" applyBorder="1"/>
    <xf numFmtId="0" fontId="54" fillId="0" borderId="0" xfId="0" applyFont="1" applyAlignment="1">
      <alignment horizontal="right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53" fillId="0" borderId="0" xfId="0" applyFont="1" applyFill="1" applyBorder="1" applyAlignment="1">
      <alignment horizontal="center" vertical="center" wrapText="1"/>
    </xf>
    <xf numFmtId="0" fontId="53" fillId="2" borderId="10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3" fillId="2" borderId="9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justify" vertical="center" wrapText="1"/>
    </xf>
    <xf numFmtId="3" fontId="19" fillId="0" borderId="2" xfId="0" applyNumberFormat="1" applyFont="1" applyBorder="1" applyAlignment="1">
      <alignment horizontal="center" vertical="center" wrapText="1"/>
    </xf>
    <xf numFmtId="3" fontId="19" fillId="0" borderId="25" xfId="0" applyNumberFormat="1" applyFont="1" applyFill="1" applyBorder="1" applyAlignment="1">
      <alignment horizontal="center" vertical="center" wrapText="1"/>
    </xf>
    <xf numFmtId="10" fontId="19" fillId="0" borderId="2" xfId="2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19" fillId="0" borderId="2" xfId="1" applyNumberFormat="1" applyFont="1" applyFill="1" applyBorder="1" applyAlignment="1">
      <alignment horizontal="center" vertical="center" wrapText="1"/>
    </xf>
    <xf numFmtId="3" fontId="19" fillId="0" borderId="24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justify" vertical="center" wrapText="1"/>
    </xf>
    <xf numFmtId="3" fontId="52" fillId="0" borderId="0" xfId="0" applyNumberFormat="1" applyFont="1" applyBorder="1" applyAlignment="1">
      <alignment horizontal="right" vertical="center"/>
    </xf>
    <xf numFmtId="3" fontId="18" fillId="0" borderId="23" xfId="0" applyNumberFormat="1" applyFont="1" applyBorder="1" applyAlignment="1">
      <alignment horizontal="center" vertical="center" wrapText="1"/>
    </xf>
    <xf numFmtId="3" fontId="19" fillId="0" borderId="26" xfId="0" applyNumberFormat="1" applyFont="1" applyFill="1" applyBorder="1" applyAlignment="1">
      <alignment horizontal="center" vertical="center" wrapText="1"/>
    </xf>
    <xf numFmtId="10" fontId="19" fillId="0" borderId="0" xfId="2" applyNumberFormat="1" applyFont="1" applyFill="1" applyBorder="1" applyAlignment="1">
      <alignment horizontal="center" vertical="center"/>
    </xf>
    <xf numFmtId="14" fontId="19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65" fontId="19" fillId="0" borderId="0" xfId="1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top" wrapText="1"/>
    </xf>
    <xf numFmtId="3" fontId="18" fillId="0" borderId="0" xfId="0" applyNumberFormat="1" applyFont="1" applyFill="1" applyBorder="1" applyAlignment="1">
      <alignment horizontal="center" vertical="center" wrapText="1"/>
    </xf>
    <xf numFmtId="0" fontId="21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3" fontId="52" fillId="0" borderId="1" xfId="0" applyNumberFormat="1" applyFont="1" applyBorder="1" applyAlignment="1">
      <alignment horizontal="right" vertical="center"/>
    </xf>
    <xf numFmtId="10" fontId="19" fillId="0" borderId="1" xfId="2" applyNumberFormat="1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9" fillId="0" borderId="1" xfId="1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52" fillId="0" borderId="2" xfId="0" applyFont="1" applyBorder="1" applyAlignment="1">
      <alignment vertical="center" wrapText="1"/>
    </xf>
    <xf numFmtId="3" fontId="19" fillId="7" borderId="2" xfId="0" applyNumberFormat="1" applyFont="1" applyFill="1" applyBorder="1" applyAlignment="1">
      <alignment horizontal="center" vertical="center" wrapText="1"/>
    </xf>
    <xf numFmtId="3" fontId="19" fillId="0" borderId="2" xfId="0" applyNumberFormat="1" applyFont="1" applyBorder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vertical="center" wrapText="1"/>
    </xf>
    <xf numFmtId="0" fontId="52" fillId="3" borderId="2" xfId="0" applyFont="1" applyFill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" fontId="19" fillId="7" borderId="2" xfId="0" applyNumberFormat="1" applyFont="1" applyFill="1" applyBorder="1" applyAlignment="1">
      <alignment vertical="center" wrapText="1"/>
    </xf>
    <xf numFmtId="3" fontId="19" fillId="0" borderId="25" xfId="0" applyNumberFormat="1" applyFont="1" applyFill="1" applyBorder="1" applyAlignment="1">
      <alignment vertical="center" wrapText="1"/>
    </xf>
    <xf numFmtId="3" fontId="19" fillId="3" borderId="2" xfId="0" applyNumberFormat="1" applyFont="1" applyFill="1" applyBorder="1" applyAlignment="1">
      <alignment vertical="center"/>
    </xf>
    <xf numFmtId="165" fontId="19" fillId="3" borderId="2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justify" vertical="top" wrapText="1"/>
    </xf>
    <xf numFmtId="3" fontId="20" fillId="2" borderId="2" xfId="0" applyNumberFormat="1" applyFont="1" applyFill="1" applyBorder="1" applyAlignment="1">
      <alignment horizontal="right" vertical="center"/>
    </xf>
    <xf numFmtId="3" fontId="20" fillId="0" borderId="25" xfId="0" applyNumberFormat="1" applyFont="1" applyFill="1" applyBorder="1" applyAlignment="1">
      <alignment horizontal="right" vertical="center"/>
    </xf>
    <xf numFmtId="9" fontId="21" fillId="0" borderId="0" xfId="2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69" fillId="0" borderId="0" xfId="0" applyFont="1" applyFill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2" fillId="0" borderId="0" xfId="0" applyFont="1" applyFill="1" applyAlignment="1" applyProtection="1">
      <alignment vertical="center"/>
      <protection locked="0"/>
    </xf>
    <xf numFmtId="0" fontId="22" fillId="0" borderId="0" xfId="0" quotePrefix="1" applyFont="1" applyFill="1" applyBorder="1" applyAlignment="1" applyProtection="1">
      <alignment horizontal="center" vertical="center"/>
      <protection locked="0"/>
    </xf>
    <xf numFmtId="0" fontId="7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70" fillId="0" borderId="0" xfId="0" applyFont="1" applyAlignment="1">
      <alignment vertical="center"/>
    </xf>
    <xf numFmtId="0" fontId="22" fillId="0" borderId="0" xfId="0" applyFont="1" applyFill="1" applyBorder="1" applyProtection="1"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0" fontId="24" fillId="0" borderId="0" xfId="0" applyFont="1" applyFill="1" applyProtection="1">
      <protection locked="0"/>
    </xf>
    <xf numFmtId="0" fontId="56" fillId="0" borderId="0" xfId="0" applyFont="1" applyBorder="1" applyAlignment="1" applyProtection="1">
      <alignment vertical="center"/>
      <protection locked="0"/>
    </xf>
    <xf numFmtId="0" fontId="17" fillId="0" borderId="0" xfId="0" applyFont="1" applyFill="1" applyAlignment="1" applyProtection="1">
      <alignment horizontal="left"/>
      <protection locked="0"/>
    </xf>
    <xf numFmtId="0" fontId="17" fillId="0" borderId="0" xfId="0" applyFont="1" applyProtection="1">
      <protection locked="0"/>
    </xf>
    <xf numFmtId="0" fontId="16" fillId="0" borderId="0" xfId="0" applyFont="1" applyFill="1" applyAlignment="1" applyProtection="1">
      <alignment horizontal="left"/>
      <protection locked="0"/>
    </xf>
    <xf numFmtId="0" fontId="71" fillId="0" borderId="0" xfId="0" applyFont="1" applyAlignment="1">
      <alignment vertical="center"/>
    </xf>
    <xf numFmtId="0" fontId="20" fillId="0" borderId="0" xfId="0" applyFont="1" applyFill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21" fillId="0" borderId="0" xfId="0" applyFont="1" applyFill="1" applyBorder="1" applyProtection="1">
      <protection locked="0"/>
    </xf>
    <xf numFmtId="0" fontId="72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0" fontId="73" fillId="0" borderId="0" xfId="0" applyFont="1" applyProtection="1">
      <protection locked="0"/>
    </xf>
    <xf numFmtId="3" fontId="74" fillId="0" borderId="0" xfId="0" applyNumberFormat="1" applyFont="1" applyAlignment="1" applyProtection="1">
      <alignment horizontal="center" vertical="center"/>
      <protection locked="0"/>
    </xf>
    <xf numFmtId="0" fontId="71" fillId="0" borderId="3" xfId="0" applyFont="1" applyBorder="1" applyAlignment="1">
      <alignment vertical="center"/>
    </xf>
    <xf numFmtId="0" fontId="17" fillId="0" borderId="3" xfId="0" applyFont="1" applyBorder="1" applyAlignment="1" applyProtection="1">
      <alignment horizontal="center"/>
      <protection locked="0"/>
    </xf>
    <xf numFmtId="0" fontId="74" fillId="0" borderId="3" xfId="0" applyFont="1" applyBorder="1" applyAlignment="1" applyProtection="1">
      <alignment horizontal="center"/>
      <protection locked="0"/>
    </xf>
    <xf numFmtId="0" fontId="73" fillId="0" borderId="3" xfId="0" applyFont="1" applyBorder="1" applyProtection="1">
      <protection locked="0"/>
    </xf>
    <xf numFmtId="0" fontId="22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vertical="center"/>
      <protection locked="0"/>
    </xf>
    <xf numFmtId="0" fontId="56" fillId="2" borderId="12" xfId="0" applyFont="1" applyFill="1" applyBorder="1" applyAlignment="1">
      <alignment horizontal="left" vertical="center"/>
    </xf>
    <xf numFmtId="0" fontId="56" fillId="2" borderId="2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0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/>
      <protection locked="0"/>
    </xf>
    <xf numFmtId="0" fontId="54" fillId="2" borderId="4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6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3" fontId="55" fillId="0" borderId="0" xfId="0" applyNumberFormat="1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7" fillId="0" borderId="12" xfId="0" applyFont="1" applyFill="1" applyBorder="1" applyAlignment="1">
      <alignment horizontal="left" vertical="center"/>
    </xf>
    <xf numFmtId="0" fontId="58" fillId="0" borderId="21" xfId="0" applyFont="1" applyFill="1" applyBorder="1" applyAlignment="1">
      <alignment horizontal="left" vertical="center"/>
    </xf>
    <xf numFmtId="0" fontId="57" fillId="0" borderId="12" xfId="0" applyFont="1" applyFill="1" applyBorder="1" applyAlignment="1">
      <alignment horizontal="left" vertical="center"/>
    </xf>
    <xf numFmtId="0" fontId="57" fillId="0" borderId="21" xfId="0" applyFont="1" applyFill="1" applyBorder="1" applyAlignment="1">
      <alignment horizontal="left" vertical="center"/>
    </xf>
    <xf numFmtId="0" fontId="57" fillId="0" borderId="12" xfId="0" applyFont="1" applyFill="1" applyBorder="1" applyAlignment="1" applyProtection="1">
      <alignment horizontal="left" vertical="center"/>
      <protection locked="0"/>
    </xf>
    <xf numFmtId="0" fontId="57" fillId="0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justify"/>
    </xf>
    <xf numFmtId="0" fontId="16" fillId="0" borderId="17" xfId="0" applyFont="1" applyFill="1" applyBorder="1" applyAlignment="1">
      <alignment horizontal="center" vertical="justify"/>
    </xf>
    <xf numFmtId="0" fontId="54" fillId="0" borderId="0" xfId="0" applyFont="1" applyFill="1" applyBorder="1" applyAlignment="1">
      <alignment horizontal="center" vertical="justify"/>
    </xf>
    <xf numFmtId="0" fontId="54" fillId="0" borderId="17" xfId="0" applyFont="1" applyFill="1" applyBorder="1" applyAlignment="1">
      <alignment horizontal="center" vertical="justify"/>
    </xf>
    <xf numFmtId="0" fontId="8" fillId="0" borderId="16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justify"/>
      <protection locked="0"/>
    </xf>
    <xf numFmtId="0" fontId="16" fillId="0" borderId="17" xfId="0" applyFont="1" applyFill="1" applyBorder="1" applyAlignment="1" applyProtection="1">
      <alignment horizontal="center" vertical="justify"/>
      <protection locked="0"/>
    </xf>
    <xf numFmtId="0" fontId="17" fillId="0" borderId="0" xfId="0" applyFont="1" applyAlignment="1">
      <alignment horizontal="center" vertical="center"/>
    </xf>
    <xf numFmtId="0" fontId="74" fillId="0" borderId="0" xfId="0" applyFont="1" applyBorder="1" applyAlignment="1" applyProtection="1">
      <alignment horizontal="center"/>
      <protection locked="0"/>
    </xf>
    <xf numFmtId="0" fontId="74" fillId="0" borderId="1" xfId="0" applyFont="1" applyBorder="1" applyAlignment="1" applyProtection="1">
      <alignment horizontal="center"/>
      <protection locked="0"/>
    </xf>
    <xf numFmtId="0" fontId="53" fillId="2" borderId="5" xfId="0" applyFont="1" applyFill="1" applyBorder="1" applyAlignment="1">
      <alignment horizontal="center" vertical="center" wrapText="1"/>
    </xf>
    <xf numFmtId="0" fontId="53" fillId="2" borderId="2" xfId="0" applyFont="1" applyFill="1" applyBorder="1" applyAlignment="1">
      <alignment horizontal="center" vertical="center" wrapText="1"/>
    </xf>
    <xf numFmtId="0" fontId="72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3" fontId="16" fillId="0" borderId="0" xfId="0" applyNumberFormat="1" applyFont="1" applyAlignment="1" applyProtection="1">
      <alignment horizontal="center" vertical="center"/>
      <protection locked="0"/>
    </xf>
    <xf numFmtId="0" fontId="53" fillId="2" borderId="10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/>
    </xf>
    <xf numFmtId="0" fontId="16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left" vertical="center"/>
      <protection locked="0"/>
    </xf>
    <xf numFmtId="0" fontId="68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justify"/>
    </xf>
    <xf numFmtId="0" fontId="53" fillId="2" borderId="6" xfId="0" applyFont="1" applyFill="1" applyBorder="1" applyAlignment="1">
      <alignment horizontal="center" vertical="center" wrapText="1"/>
    </xf>
    <xf numFmtId="0" fontId="53" fillId="2" borderId="8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0" fontId="53" fillId="2" borderId="7" xfId="0" applyFont="1" applyFill="1" applyBorder="1" applyAlignment="1">
      <alignment horizontal="center" vertical="center" wrapText="1"/>
    </xf>
    <xf numFmtId="0" fontId="53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0" fillId="0" borderId="0" xfId="0" applyFont="1" applyBorder="1" applyAlignment="1">
      <alignment vertical="center"/>
    </xf>
    <xf numFmtId="0" fontId="50" fillId="0" borderId="0" xfId="0" applyFont="1" applyBorder="1" applyAlignment="1" applyProtection="1">
      <alignment horizontal="center"/>
      <protection locked="0"/>
    </xf>
    <xf numFmtId="0" fontId="50" fillId="0" borderId="1" xfId="0" applyFont="1" applyBorder="1" applyAlignment="1" applyProtection="1">
      <alignment horizontal="center"/>
      <protection locked="0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/>
      <protection locked="0"/>
    </xf>
    <xf numFmtId="3" fontId="10" fillId="0" borderId="0" xfId="0" applyNumberFormat="1" applyFont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center"/>
      <protection locked="0"/>
    </xf>
    <xf numFmtId="0" fontId="11" fillId="2" borderId="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0" xfId="0" applyFont="1" applyFill="1" applyAlignment="1" applyProtection="1">
      <alignment horizontal="left"/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42" fillId="0" borderId="0" xfId="0" applyFont="1" applyFill="1" applyBorder="1" applyAlignment="1">
      <alignment horizontal="center" vertical="justify"/>
    </xf>
    <xf numFmtId="0" fontId="43" fillId="0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</cellXfs>
  <cellStyles count="6">
    <cellStyle name="Millares" xfId="1" builtinId="3"/>
    <cellStyle name="Moneda 2" xfId="4"/>
    <cellStyle name="Normal" xfId="0" builtinId="0"/>
    <cellStyle name="Normal 2" xfId="3"/>
    <cellStyle name="Normal 3" xfId="5"/>
    <cellStyle name="Porcentaje" xfId="2" builtinId="5"/>
  </cellStyles>
  <dxfs count="0"/>
  <tableStyles count="0" defaultTableStyle="TableStyleMedium2" defaultPivotStyle="PivotStyleLight16"/>
  <colors>
    <mruColors>
      <color rgb="FF0000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178597</xdr:colOff>
      <xdr:row>2</xdr:row>
      <xdr:rowOff>0</xdr:rowOff>
    </xdr:from>
    <xdr:ext cx="1660072" cy="721178"/>
    <xdr:sp macro="" textlink="">
      <xdr:nvSpPr>
        <xdr:cNvPr id="4" name="1 CuadroTexto"/>
        <xdr:cNvSpPr txBox="1"/>
      </xdr:nvSpPr>
      <xdr:spPr>
        <a:xfrm>
          <a:off x="5286378" y="130969"/>
          <a:ext cx="1660072" cy="721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>
              <a:solidFill>
                <a:srgbClr val="FF0000"/>
              </a:solidFill>
            </a:rPr>
            <a:t>LOGO O ESCUDO ESTATAL</a:t>
          </a:r>
        </a:p>
      </xdr:txBody>
    </xdr:sp>
    <xdr:clientData/>
  </xdr:oneCellAnchor>
  <xdr:twoCellAnchor editAs="oneCell">
    <xdr:from>
      <xdr:col>1</xdr:col>
      <xdr:colOff>353786</xdr:colOff>
      <xdr:row>2</xdr:row>
      <xdr:rowOff>40821</xdr:rowOff>
    </xdr:from>
    <xdr:to>
      <xdr:col>3</xdr:col>
      <xdr:colOff>503465</xdr:colOff>
      <xdr:row>4</xdr:row>
      <xdr:rowOff>27215</xdr:rowOff>
    </xdr:to>
    <xdr:pic>
      <xdr:nvPicPr>
        <xdr:cNvPr id="6" name="Imagen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326571"/>
          <a:ext cx="4286250" cy="585108"/>
        </a:xfrm>
        <a:prstGeom prst="rect">
          <a:avLst/>
        </a:prstGeom>
      </xdr:spPr>
    </xdr:pic>
    <xdr:clientData/>
  </xdr:twoCellAnchor>
  <xdr:twoCellAnchor>
    <xdr:from>
      <xdr:col>14</xdr:col>
      <xdr:colOff>136071</xdr:colOff>
      <xdr:row>2</xdr:row>
      <xdr:rowOff>68035</xdr:rowOff>
    </xdr:from>
    <xdr:to>
      <xdr:col>15</xdr:col>
      <xdr:colOff>925285</xdr:colOff>
      <xdr:row>3</xdr:row>
      <xdr:rowOff>247650</xdr:rowOff>
    </xdr:to>
    <xdr:sp macro="" textlink="">
      <xdr:nvSpPr>
        <xdr:cNvPr id="7" name="CuadroTexto 6"/>
        <xdr:cNvSpPr txBox="1"/>
      </xdr:nvSpPr>
      <xdr:spPr>
        <a:xfrm>
          <a:off x="14722928" y="353785"/>
          <a:ext cx="1782536" cy="478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800" b="1" baseline="0">
              <a:latin typeface="Arial Black" panose="020B0A04020102020204" pitchFamily="34" charset="0"/>
              <a:cs typeface="Arial" panose="020B0604020202020204" pitchFamily="34" charset="0"/>
            </a:rPr>
            <a:t> XIII</a:t>
          </a:r>
          <a:endParaRPr lang="es-MX" sz="18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1572987</xdr:colOff>
      <xdr:row>2</xdr:row>
      <xdr:rowOff>238124</xdr:rowOff>
    </xdr:from>
    <xdr:ext cx="2345869" cy="1190626"/>
    <xdr:sp macro="" textlink="">
      <xdr:nvSpPr>
        <xdr:cNvPr id="3" name="1 CuadroTexto"/>
        <xdr:cNvSpPr txBox="1"/>
      </xdr:nvSpPr>
      <xdr:spPr>
        <a:xfrm>
          <a:off x="7573737" y="428624"/>
          <a:ext cx="2345869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  <a:latin typeface="Montserrat" pitchFamily="2" charset="0"/>
            </a:rPr>
            <a:t>Logo</a:t>
          </a:r>
          <a:r>
            <a:rPr lang="es-MX" sz="1600" baseline="0">
              <a:solidFill>
                <a:srgbClr val="FF0000"/>
              </a:solidFill>
              <a:latin typeface="Montserrat" pitchFamily="2" charset="0"/>
            </a:rPr>
            <a:t> o escudo estatal</a:t>
          </a:r>
        </a:p>
        <a:p>
          <a:pPr algn="ctr"/>
          <a:endParaRPr lang="es-MX" sz="1600">
            <a:solidFill>
              <a:srgbClr val="FF0000"/>
            </a:solidFill>
            <a:latin typeface="Montserrat" pitchFamily="2" charset="0"/>
          </a:endParaRPr>
        </a:p>
      </xdr:txBody>
    </xdr:sp>
    <xdr:clientData/>
  </xdr:oneCellAnchor>
  <xdr:twoCellAnchor editAs="oneCell">
    <xdr:from>
      <xdr:col>3</xdr:col>
      <xdr:colOff>647700</xdr:colOff>
      <xdr:row>2</xdr:row>
      <xdr:rowOff>342900</xdr:rowOff>
    </xdr:from>
    <xdr:to>
      <xdr:col>7</xdr:col>
      <xdr:colOff>571500</xdr:colOff>
      <xdr:row>5</xdr:row>
      <xdr:rowOff>38100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533400"/>
          <a:ext cx="6667500" cy="952500"/>
        </a:xfrm>
        <a:prstGeom prst="rect">
          <a:avLst/>
        </a:prstGeom>
      </xdr:spPr>
    </xdr:pic>
    <xdr:clientData/>
  </xdr:twoCellAnchor>
  <xdr:twoCellAnchor>
    <xdr:from>
      <xdr:col>27</xdr:col>
      <xdr:colOff>190500</xdr:colOff>
      <xdr:row>2</xdr:row>
      <xdr:rowOff>261937</xdr:rowOff>
    </xdr:from>
    <xdr:to>
      <xdr:col>28</xdr:col>
      <xdr:colOff>1073603</xdr:colOff>
      <xdr:row>3</xdr:row>
      <xdr:rowOff>312284</xdr:rowOff>
    </xdr:to>
    <xdr:sp macro="" textlink="">
      <xdr:nvSpPr>
        <xdr:cNvPr id="4" name="CuadroTexto 3"/>
        <xdr:cNvSpPr txBox="1"/>
      </xdr:nvSpPr>
      <xdr:spPr>
        <a:xfrm>
          <a:off x="36790313" y="452437"/>
          <a:ext cx="1978478" cy="478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800" b="1" baseline="0">
              <a:latin typeface="Arial Black" panose="020B0A04020102020204" pitchFamily="34" charset="0"/>
              <a:cs typeface="Arial" panose="020B0604020202020204" pitchFamily="34" charset="0"/>
            </a:rPr>
            <a:t> XIII</a:t>
          </a:r>
          <a:endParaRPr lang="es-MX" sz="18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1572987</xdr:colOff>
      <xdr:row>2</xdr:row>
      <xdr:rowOff>238124</xdr:rowOff>
    </xdr:from>
    <xdr:ext cx="2345869" cy="1190626"/>
    <xdr:sp macro="" textlink="">
      <xdr:nvSpPr>
        <xdr:cNvPr id="2" name="1 CuadroTexto"/>
        <xdr:cNvSpPr txBox="1"/>
      </xdr:nvSpPr>
      <xdr:spPr>
        <a:xfrm>
          <a:off x="8783412" y="419099"/>
          <a:ext cx="2345869" cy="1190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</a:rPr>
            <a:t>Logo</a:t>
          </a:r>
          <a:r>
            <a:rPr lang="es-MX" sz="1600" baseline="0">
              <a:solidFill>
                <a:srgbClr val="FF0000"/>
              </a:solidFill>
            </a:rPr>
            <a:t> o escudo estatal</a:t>
          </a:r>
        </a:p>
        <a:p>
          <a:pPr algn="ctr"/>
          <a:endParaRPr lang="es-MX" sz="16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609600</xdr:colOff>
      <xdr:row>3</xdr:row>
      <xdr:rowOff>38100</xdr:rowOff>
    </xdr:from>
    <xdr:to>
      <xdr:col>7</xdr:col>
      <xdr:colOff>533400</xdr:colOff>
      <xdr:row>5</xdr:row>
      <xdr:rowOff>152400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47700"/>
          <a:ext cx="6667500" cy="952500"/>
        </a:xfrm>
        <a:prstGeom prst="rect">
          <a:avLst/>
        </a:prstGeom>
      </xdr:spPr>
    </xdr:pic>
    <xdr:clientData/>
  </xdr:twoCellAnchor>
  <xdr:twoCellAnchor>
    <xdr:from>
      <xdr:col>27</xdr:col>
      <xdr:colOff>225880</xdr:colOff>
      <xdr:row>2</xdr:row>
      <xdr:rowOff>133350</xdr:rowOff>
    </xdr:from>
    <xdr:to>
      <xdr:col>29</xdr:col>
      <xdr:colOff>81644</xdr:colOff>
      <xdr:row>3</xdr:row>
      <xdr:rowOff>190501</xdr:rowOff>
    </xdr:to>
    <xdr:sp macro="" textlink="">
      <xdr:nvSpPr>
        <xdr:cNvPr id="3" name="CuadroTexto 2"/>
        <xdr:cNvSpPr txBox="1"/>
      </xdr:nvSpPr>
      <xdr:spPr>
        <a:xfrm>
          <a:off x="36230380" y="323850"/>
          <a:ext cx="1978478" cy="478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800" b="1" baseline="0">
              <a:latin typeface="Arial Black" panose="020B0A04020102020204" pitchFamily="34" charset="0"/>
              <a:cs typeface="Arial" panose="020B0604020202020204" pitchFamily="34" charset="0"/>
            </a:rPr>
            <a:t> XIII</a:t>
          </a:r>
          <a:endParaRPr lang="es-MX" sz="18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49"/>
  <sheetViews>
    <sheetView showGridLines="0" tabSelected="1" zoomScale="70" zoomScaleNormal="70" workbookViewId="0">
      <selection activeCell="S7" sqref="S7"/>
    </sheetView>
  </sheetViews>
  <sheetFormatPr baseColWidth="10" defaultColWidth="10" defaultRowHeight="14.25" x14ac:dyDescent="0.2"/>
  <cols>
    <col min="1" max="1" width="3.5" style="5" customWidth="1"/>
    <col min="2" max="2" width="23.25" style="5" customWidth="1"/>
    <col min="3" max="3" width="31" style="5" customWidth="1"/>
    <col min="4" max="9" width="13" style="5" customWidth="1"/>
    <col min="10" max="10" width="3.25" style="5" customWidth="1"/>
    <col min="11" max="16" width="13" style="5" customWidth="1"/>
    <col min="17" max="17" width="3.5" style="5" customWidth="1"/>
    <col min="18" max="18" width="17.375" style="5" bestFit="1" customWidth="1"/>
    <col min="19" max="16384" width="10" style="5"/>
  </cols>
  <sheetData>
    <row r="1" spans="2:23" ht="16.5" customHeight="1" thickBot="1" x14ac:dyDescent="0.25"/>
    <row r="2" spans="2:23" s="1" customFormat="1" ht="6" customHeight="1" x14ac:dyDescent="0.2">
      <c r="B2" s="199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1"/>
      <c r="Q2" s="2"/>
    </row>
    <row r="3" spans="2:23" s="1" customFormat="1" ht="24" customHeight="1" x14ac:dyDescent="0.2">
      <c r="B3" s="202"/>
      <c r="C3" s="2"/>
      <c r="D3" s="203"/>
      <c r="E3" s="379" t="s">
        <v>174</v>
      </c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80"/>
      <c r="Q3" s="204"/>
      <c r="R3" s="204"/>
      <c r="S3" s="204"/>
      <c r="T3" s="204"/>
      <c r="U3" s="204"/>
      <c r="V3" s="204"/>
      <c r="W3" s="204"/>
    </row>
    <row r="4" spans="2:23" s="1" customFormat="1" ht="24" customHeight="1" x14ac:dyDescent="0.2">
      <c r="B4" s="202"/>
      <c r="C4" s="2"/>
      <c r="D4" s="205"/>
      <c r="E4" s="379" t="s">
        <v>175</v>
      </c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80"/>
      <c r="Q4" s="204"/>
      <c r="R4" s="204"/>
      <c r="S4" s="204"/>
      <c r="T4" s="204"/>
      <c r="U4" s="204"/>
      <c r="V4" s="204"/>
      <c r="W4" s="204"/>
    </row>
    <row r="5" spans="2:23" s="1" customFormat="1" ht="24" customHeight="1" x14ac:dyDescent="0.2">
      <c r="B5" s="202"/>
      <c r="C5" s="2"/>
      <c r="D5" s="2"/>
      <c r="E5" s="379" t="s">
        <v>176</v>
      </c>
      <c r="F5" s="379"/>
      <c r="G5" s="379"/>
      <c r="H5" s="379"/>
      <c r="I5" s="379"/>
      <c r="J5" s="379"/>
      <c r="K5" s="379"/>
      <c r="L5" s="379"/>
      <c r="M5" s="379"/>
      <c r="N5" s="379"/>
      <c r="O5" s="379"/>
      <c r="P5" s="380"/>
      <c r="Q5" s="204"/>
      <c r="R5" s="204"/>
      <c r="S5" s="204"/>
      <c r="T5" s="204"/>
      <c r="U5" s="204"/>
      <c r="V5" s="204"/>
      <c r="W5" s="204"/>
    </row>
    <row r="6" spans="2:23" s="1" customFormat="1" ht="24" customHeight="1" x14ac:dyDescent="0.2">
      <c r="B6" s="202"/>
      <c r="C6" s="392" t="s">
        <v>81</v>
      </c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3"/>
      <c r="Q6" s="206"/>
      <c r="R6" s="206"/>
      <c r="S6" s="206"/>
      <c r="T6" s="206"/>
      <c r="U6" s="204"/>
      <c r="V6" s="204"/>
      <c r="W6" s="204"/>
    </row>
    <row r="7" spans="2:23" s="1" customFormat="1" ht="23.25" x14ac:dyDescent="0.2">
      <c r="B7" s="202"/>
      <c r="C7" s="2"/>
      <c r="D7" s="2"/>
      <c r="E7" s="381" t="s">
        <v>80</v>
      </c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2"/>
      <c r="Q7" s="204"/>
      <c r="R7" s="204"/>
      <c r="S7" s="204"/>
      <c r="T7" s="204"/>
      <c r="U7" s="204"/>
      <c r="V7" s="204"/>
      <c r="W7" s="204"/>
    </row>
    <row r="8" spans="2:23" s="1" customFormat="1" ht="24" customHeight="1" x14ac:dyDescent="0.2">
      <c r="B8" s="383" t="s">
        <v>177</v>
      </c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5"/>
      <c r="Q8" s="204"/>
      <c r="R8" s="204"/>
      <c r="S8" s="204"/>
      <c r="T8" s="204"/>
      <c r="U8" s="204"/>
      <c r="V8" s="204"/>
      <c r="W8" s="204"/>
    </row>
    <row r="9" spans="2:23" s="1" customFormat="1" ht="23.25" customHeight="1" x14ac:dyDescent="0.2">
      <c r="B9" s="383"/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5"/>
      <c r="Q9" s="204"/>
      <c r="R9" s="204"/>
      <c r="S9" s="204"/>
      <c r="T9" s="204"/>
      <c r="U9" s="204"/>
      <c r="V9" s="204"/>
      <c r="W9" s="204"/>
    </row>
    <row r="10" spans="2:23" s="1" customFormat="1" ht="13.5" customHeight="1" x14ac:dyDescent="0.2">
      <c r="B10" s="383"/>
      <c r="C10" s="384"/>
      <c r="D10" s="384"/>
      <c r="E10" s="384"/>
      <c r="F10" s="384"/>
      <c r="G10" s="384"/>
      <c r="H10" s="384"/>
      <c r="I10" s="384"/>
      <c r="J10" s="384"/>
      <c r="K10" s="384"/>
      <c r="L10" s="384"/>
      <c r="M10" s="384"/>
      <c r="N10" s="384"/>
      <c r="O10" s="384"/>
      <c r="P10" s="385"/>
      <c r="Q10" s="204"/>
      <c r="R10" s="204"/>
      <c r="S10" s="204"/>
      <c r="T10" s="204"/>
      <c r="U10" s="204"/>
      <c r="V10" s="204"/>
      <c r="W10" s="204"/>
    </row>
    <row r="11" spans="2:23" s="1" customFormat="1" ht="6.75" customHeight="1" x14ac:dyDescent="0.2">
      <c r="B11" s="207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9"/>
      <c r="Q11" s="3"/>
    </row>
    <row r="12" spans="2:23" s="1" customFormat="1" ht="15" x14ac:dyDescent="0.25">
      <c r="B12" s="210" t="s">
        <v>69</v>
      </c>
      <c r="C12" s="211"/>
      <c r="D12" s="2"/>
      <c r="E12" s="2"/>
      <c r="F12" s="2"/>
      <c r="G12" s="211" t="s">
        <v>17</v>
      </c>
      <c r="H12" s="212"/>
      <c r="I12" s="213"/>
      <c r="J12" s="213"/>
      <c r="K12" s="2"/>
      <c r="L12" s="2"/>
      <c r="M12" s="2"/>
      <c r="N12" s="211"/>
      <c r="O12" s="214"/>
      <c r="P12" s="215"/>
      <c r="Q12" s="4"/>
    </row>
    <row r="13" spans="2:23" ht="13.5" customHeight="1" thickBot="1" x14ac:dyDescent="0.25">
      <c r="B13" s="216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8"/>
      <c r="Q13" s="6"/>
    </row>
    <row r="14" spans="2:23" ht="6.75" customHeight="1" thickBot="1" x14ac:dyDescent="0.25">
      <c r="B14" s="7"/>
      <c r="C14" s="8"/>
      <c r="D14" s="9"/>
      <c r="E14" s="9"/>
      <c r="F14" s="10"/>
      <c r="G14" s="10"/>
      <c r="H14" s="10"/>
      <c r="I14" s="10"/>
      <c r="J14" s="10"/>
      <c r="K14" s="9"/>
      <c r="L14" s="9"/>
      <c r="M14" s="10"/>
      <c r="N14" s="10"/>
      <c r="O14" s="10"/>
      <c r="P14" s="10"/>
      <c r="Q14" s="6"/>
    </row>
    <row r="15" spans="2:23" ht="30.75" customHeight="1" x14ac:dyDescent="0.2">
      <c r="B15" s="386" t="s">
        <v>79</v>
      </c>
      <c r="C15" s="387"/>
      <c r="D15" s="362" t="s">
        <v>71</v>
      </c>
      <c r="E15" s="362"/>
      <c r="F15" s="362"/>
      <c r="G15" s="362"/>
      <c r="H15" s="362"/>
      <c r="I15" s="363"/>
      <c r="J15" s="219"/>
      <c r="K15" s="361" t="s">
        <v>72</v>
      </c>
      <c r="L15" s="362"/>
      <c r="M15" s="362"/>
      <c r="N15" s="362"/>
      <c r="O15" s="362"/>
      <c r="P15" s="363"/>
    </row>
    <row r="16" spans="2:23" ht="30.75" customHeight="1" thickBot="1" x14ac:dyDescent="0.25">
      <c r="B16" s="388"/>
      <c r="C16" s="389"/>
      <c r="D16" s="364" t="s">
        <v>70</v>
      </c>
      <c r="E16" s="365"/>
      <c r="F16" s="365"/>
      <c r="G16" s="365"/>
      <c r="H16" s="365"/>
      <c r="I16" s="366"/>
      <c r="J16" s="219"/>
      <c r="K16" s="367" t="s">
        <v>70</v>
      </c>
      <c r="L16" s="365"/>
      <c r="M16" s="365"/>
      <c r="N16" s="365"/>
      <c r="O16" s="365"/>
      <c r="P16" s="366"/>
    </row>
    <row r="17" spans="2:16" ht="53.25" customHeight="1" thickBot="1" x14ac:dyDescent="0.25">
      <c r="B17" s="390"/>
      <c r="C17" s="391"/>
      <c r="D17" s="220" t="s">
        <v>8</v>
      </c>
      <c r="E17" s="221" t="s">
        <v>74</v>
      </c>
      <c r="F17" s="221" t="s">
        <v>75</v>
      </c>
      <c r="G17" s="221" t="s">
        <v>76</v>
      </c>
      <c r="H17" s="221" t="s">
        <v>77</v>
      </c>
      <c r="I17" s="221" t="s">
        <v>78</v>
      </c>
      <c r="J17" s="222"/>
      <c r="K17" s="220" t="s">
        <v>8</v>
      </c>
      <c r="L17" s="221" t="s">
        <v>74</v>
      </c>
      <c r="M17" s="221" t="s">
        <v>75</v>
      </c>
      <c r="N17" s="221" t="s">
        <v>76</v>
      </c>
      <c r="O17" s="221" t="s">
        <v>77</v>
      </c>
      <c r="P17" s="221" t="s">
        <v>78</v>
      </c>
    </row>
    <row r="18" spans="2:16" ht="9.9499999999999993" customHeight="1" x14ac:dyDescent="0.2">
      <c r="B18" s="7" t="s">
        <v>19</v>
      </c>
      <c r="C18" s="7"/>
      <c r="D18" s="223"/>
      <c r="E18" s="223"/>
      <c r="F18" s="9"/>
      <c r="G18" s="9"/>
      <c r="H18" s="9"/>
      <c r="I18" s="10"/>
      <c r="J18" s="10"/>
      <c r="K18" s="223"/>
      <c r="L18" s="223"/>
      <c r="M18" s="9"/>
      <c r="N18" s="9"/>
      <c r="O18" s="9"/>
      <c r="P18" s="10"/>
    </row>
    <row r="19" spans="2:16" ht="23.25" customHeight="1" x14ac:dyDescent="0.2">
      <c r="B19" s="355" t="s">
        <v>20</v>
      </c>
      <c r="C19" s="378"/>
      <c r="D19" s="224">
        <f t="shared" ref="D19:I19" si="0">SUM(D20:D22)</f>
        <v>0</v>
      </c>
      <c r="E19" s="224">
        <f t="shared" si="0"/>
        <v>0</v>
      </c>
      <c r="F19" s="224">
        <f t="shared" si="0"/>
        <v>0</v>
      </c>
      <c r="G19" s="224">
        <f t="shared" si="0"/>
        <v>0</v>
      </c>
      <c r="H19" s="224">
        <f t="shared" si="0"/>
        <v>0</v>
      </c>
      <c r="I19" s="224">
        <f t="shared" si="0"/>
        <v>0</v>
      </c>
      <c r="J19" s="225"/>
      <c r="K19" s="226">
        <f t="shared" ref="K19:P19" si="1">SUM(K20:K22)</f>
        <v>0</v>
      </c>
      <c r="L19" s="226">
        <f t="shared" si="1"/>
        <v>0</v>
      </c>
      <c r="M19" s="226">
        <f t="shared" si="1"/>
        <v>0</v>
      </c>
      <c r="N19" s="226">
        <f t="shared" si="1"/>
        <v>0</v>
      </c>
      <c r="O19" s="226">
        <f t="shared" si="1"/>
        <v>0</v>
      </c>
      <c r="P19" s="226">
        <f t="shared" si="1"/>
        <v>0</v>
      </c>
    </row>
    <row r="20" spans="2:16" ht="23.25" customHeight="1" x14ac:dyDescent="0.2">
      <c r="B20" s="227" t="s">
        <v>21</v>
      </c>
      <c r="C20" s="228"/>
      <c r="D20" s="229">
        <f>SUMIFS('Acciones rurales'!T16:T19,'Acciones rurales'!J16:J19,"=N")</f>
        <v>0</v>
      </c>
      <c r="E20" s="229">
        <f>SUMIFS('Acciones rurales'!U16:U19,'Acciones rurales'!J16:J19,"=N")</f>
        <v>0</v>
      </c>
      <c r="F20" s="229">
        <f>SUMIFS('Acciones rurales'!V16:V19,'Acciones rurales'!J16:J19,"=N")</f>
        <v>0</v>
      </c>
      <c r="G20" s="229">
        <f>SUMIFS('Acciones rurales'!W16:W19,'Acciones rurales'!J16:J19,"=N")</f>
        <v>0</v>
      </c>
      <c r="H20" s="229">
        <f>SUMIFS('Acciones rurales'!X16:X19,'Acciones rurales'!J16:J19,"=N")</f>
        <v>0</v>
      </c>
      <c r="I20" s="229">
        <f>SUM(D20:H20)</f>
        <v>0</v>
      </c>
      <c r="J20" s="225"/>
      <c r="K20" s="230">
        <f>SUMIFS('Acciones urbanas'!T16:T19,'Acciones urbanas'!J16:J19,"=N")</f>
        <v>0</v>
      </c>
      <c r="L20" s="230">
        <f>SUMIFS('Acciones urbanas'!U16:U19,'Acciones urbanas'!J16:J19,"=N")</f>
        <v>0</v>
      </c>
      <c r="M20" s="230">
        <f>SUMIFS('Acciones urbanas'!V16:V19,'Acciones urbanas'!J16:J19,"=N")</f>
        <v>0</v>
      </c>
      <c r="N20" s="230">
        <f>SUMIFS('Acciones urbanas'!W16:W19,'Acciones urbanas'!J16:J19,"=N")</f>
        <v>0</v>
      </c>
      <c r="O20" s="230">
        <f>SUMIFS('Acciones urbanas'!X16:X19,'Acciones urbanas'!J16:J19,"=N")</f>
        <v>0</v>
      </c>
      <c r="P20" s="230">
        <f>SUM(K20:O20)</f>
        <v>0</v>
      </c>
    </row>
    <row r="21" spans="2:16" ht="23.25" customHeight="1" x14ac:dyDescent="0.2">
      <c r="B21" s="374" t="s">
        <v>22</v>
      </c>
      <c r="C21" s="375"/>
      <c r="D21" s="229">
        <f>SUMIFS('Acciones rurales'!T16:T19,'Acciones rurales'!J16:J19,"=R")</f>
        <v>0</v>
      </c>
      <c r="E21" s="229">
        <f>SUMIFS('Acciones rurales'!U16:U19,'Acciones rurales'!J16:J19,"=R")</f>
        <v>0</v>
      </c>
      <c r="F21" s="229">
        <f>SUMIFS('Acciones rurales'!V16:V19,'Acciones rurales'!J16:J19,"=R")</f>
        <v>0</v>
      </c>
      <c r="G21" s="229">
        <f>SUMIFS('Acciones rurales'!W16:W19,'Acciones rurales'!J16:J19,"=R")</f>
        <v>0</v>
      </c>
      <c r="H21" s="229">
        <f>SUMIFS('Acciones rurales'!X16:X19,'Acciones rurales'!J16:J19,"=R")</f>
        <v>0</v>
      </c>
      <c r="I21" s="229">
        <f>SUM(D21:H21)</f>
        <v>0</v>
      </c>
      <c r="J21" s="225"/>
      <c r="K21" s="230">
        <f>SUMIFS('Acciones urbanas'!T16:T19,'Acciones urbanas'!J16:J19,"=R")</f>
        <v>0</v>
      </c>
      <c r="L21" s="230">
        <f>SUMIFS('Acciones urbanas'!U16:U19,'Acciones urbanas'!J16:J19,"=R")</f>
        <v>0</v>
      </c>
      <c r="M21" s="230">
        <f>SUMIFS('Acciones urbanas'!V16:V19,'Acciones urbanas'!J16:J19,"=R")</f>
        <v>0</v>
      </c>
      <c r="N21" s="230">
        <f>SUMIFS('Acciones urbanas'!W16:W19,'Acciones urbanas'!J16:J19,"=R")</f>
        <v>0</v>
      </c>
      <c r="O21" s="230">
        <f>SUMIFS('Acciones urbanas'!X16:X19,'Acciones urbanas'!J16:J19,"=R")</f>
        <v>0</v>
      </c>
      <c r="P21" s="230">
        <f t="shared" ref="P21:P22" si="2">SUM(K21:O21)</f>
        <v>0</v>
      </c>
    </row>
    <row r="22" spans="2:16" ht="23.25" customHeight="1" x14ac:dyDescent="0.2">
      <c r="B22" s="376" t="s">
        <v>23</v>
      </c>
      <c r="C22" s="377"/>
      <c r="D22" s="229">
        <f>SUMIFS('Acciones rurales'!T16:T19,'Acciones rurales'!J16:J19,"=M")</f>
        <v>0</v>
      </c>
      <c r="E22" s="229">
        <f>SUMIFS('Acciones rurales'!U16:U19,'Acciones rurales'!J16:J19,"=M")</f>
        <v>0</v>
      </c>
      <c r="F22" s="229">
        <f>SUMIFS('Acciones rurales'!V16:V19,'Acciones rurales'!J16:J19,"=M")</f>
        <v>0</v>
      </c>
      <c r="G22" s="229">
        <f>SUMIFS('Acciones rurales'!W16:W19,'Acciones rurales'!J16:J19,"=M")</f>
        <v>0</v>
      </c>
      <c r="H22" s="229">
        <f>SUMIFS('Acciones rurales'!X16:X19,'Acciones rurales'!J16:J19,"=M")</f>
        <v>0</v>
      </c>
      <c r="I22" s="229">
        <f t="shared" ref="I22" si="3">SUM(D22:H22)</f>
        <v>0</v>
      </c>
      <c r="J22" s="225"/>
      <c r="K22" s="230">
        <f>SUMIFS('Acciones urbanas'!T16:T19,'Acciones urbanas'!J16:J19,"=M")</f>
        <v>0</v>
      </c>
      <c r="L22" s="230">
        <f>SUMIFS('Acciones urbanas'!U16:U19,'Acciones urbanas'!J16:J19,"=M")</f>
        <v>0</v>
      </c>
      <c r="M22" s="230">
        <f>SUMIFS('Acciones urbanas'!V16:V19,'Acciones urbanas'!J16:J19,"=M")</f>
        <v>0</v>
      </c>
      <c r="N22" s="230">
        <f>SUMIFS('Acciones urbanas'!W16:W19,'Acciones urbanas'!J16:J19,"=M")</f>
        <v>0</v>
      </c>
      <c r="O22" s="230">
        <f>SUMIFS('Acciones urbanas'!X16:X19,'Acciones urbanas'!J16:J19,"=M")</f>
        <v>0</v>
      </c>
      <c r="P22" s="230">
        <f t="shared" si="2"/>
        <v>0</v>
      </c>
    </row>
    <row r="23" spans="2:16" ht="23.25" customHeight="1" x14ac:dyDescent="0.2">
      <c r="B23" s="231" t="s">
        <v>26</v>
      </c>
      <c r="C23" s="232"/>
      <c r="D23" s="224">
        <f t="shared" ref="D23:I23" si="4">SUM(D24:D26)</f>
        <v>0</v>
      </c>
      <c r="E23" s="224">
        <f t="shared" si="4"/>
        <v>0</v>
      </c>
      <c r="F23" s="224">
        <f t="shared" si="4"/>
        <v>0</v>
      </c>
      <c r="G23" s="224">
        <f t="shared" si="4"/>
        <v>0</v>
      </c>
      <c r="H23" s="224">
        <f t="shared" si="4"/>
        <v>0</v>
      </c>
      <c r="I23" s="224">
        <f t="shared" si="4"/>
        <v>0</v>
      </c>
      <c r="J23" s="225"/>
      <c r="K23" s="226">
        <f t="shared" ref="K23:P23" si="5">SUM(K24:K26)</f>
        <v>0</v>
      </c>
      <c r="L23" s="226">
        <f t="shared" si="5"/>
        <v>0</v>
      </c>
      <c r="M23" s="226">
        <f t="shared" si="5"/>
        <v>0</v>
      </c>
      <c r="N23" s="226">
        <f t="shared" si="5"/>
        <v>0</v>
      </c>
      <c r="O23" s="226">
        <f t="shared" si="5"/>
        <v>0</v>
      </c>
      <c r="P23" s="226">
        <f t="shared" si="5"/>
        <v>0</v>
      </c>
    </row>
    <row r="24" spans="2:16" ht="23.25" customHeight="1" x14ac:dyDescent="0.2">
      <c r="B24" s="227" t="s">
        <v>21</v>
      </c>
      <c r="C24" s="228"/>
      <c r="D24" s="229">
        <f>SUMIFS('Acciones rurales'!T22:T25,'Acciones rurales'!J22:J25,"=N")</f>
        <v>0</v>
      </c>
      <c r="E24" s="229">
        <f>SUMIFS('Acciones rurales'!U22:U25,'Acciones rurales'!J22:J25,"=N")</f>
        <v>0</v>
      </c>
      <c r="F24" s="229">
        <f>SUMIFS('Acciones rurales'!V22:V25,'Acciones rurales'!J22:J25,"=N")</f>
        <v>0</v>
      </c>
      <c r="G24" s="229">
        <f>SUMIFS('Acciones rurales'!W22:W25,'Acciones rurales'!J22:J25,"=N")</f>
        <v>0</v>
      </c>
      <c r="H24" s="229">
        <f>SUMIFS('Acciones rurales'!X22:X25,'Acciones rurales'!J22:J25,"=N")</f>
        <v>0</v>
      </c>
      <c r="I24" s="229">
        <f>SUM(D24:H24)</f>
        <v>0</v>
      </c>
      <c r="J24" s="225"/>
      <c r="K24" s="230">
        <f>SUMIFS('Acciones urbanas'!T22:T25,'Acciones urbanas'!J22:J25,"=N")</f>
        <v>0</v>
      </c>
      <c r="L24" s="230">
        <f>SUMIFS('Acciones urbanas'!U22:U25,'Acciones urbanas'!J22:J25,"=N")</f>
        <v>0</v>
      </c>
      <c r="M24" s="230">
        <f>SUMIFS('Acciones urbanas'!V22:V25,'Acciones urbanas'!J22:J25,"=N")</f>
        <v>0</v>
      </c>
      <c r="N24" s="230">
        <f>SUMIFS('Acciones urbanas'!W22:W25,'Acciones urbanas'!J22:J25,"=N")</f>
        <v>0</v>
      </c>
      <c r="O24" s="230">
        <f>SUMIFS('Acciones urbanas'!X22:X25,'Acciones urbanas'!J22:J25,"=N")</f>
        <v>0</v>
      </c>
      <c r="P24" s="230">
        <f t="shared" ref="P24:P25" si="6">SUM(K24:O24)</f>
        <v>0</v>
      </c>
    </row>
    <row r="25" spans="2:16" ht="23.25" customHeight="1" x14ac:dyDescent="0.2">
      <c r="B25" s="374" t="s">
        <v>22</v>
      </c>
      <c r="C25" s="375"/>
      <c r="D25" s="229">
        <f>SUMIFS('Acciones rurales'!T22:T25,'Acciones rurales'!J22:J25,"=R")</f>
        <v>0</v>
      </c>
      <c r="E25" s="229">
        <f>SUMIFS('Acciones rurales'!U22:U25,'Acciones rurales'!J22:J25,"=R")</f>
        <v>0</v>
      </c>
      <c r="F25" s="229">
        <f>SUMIFS('Acciones rurales'!V22:V25,'Acciones rurales'!J22:J25,"=R")</f>
        <v>0</v>
      </c>
      <c r="G25" s="229">
        <f>SUMIFS('Acciones rurales'!W22:W25,'Acciones rurales'!J22:J25,"=R")</f>
        <v>0</v>
      </c>
      <c r="H25" s="229">
        <f>SUMIFS('Acciones rurales'!X22:X25,'Acciones rurales'!J22:J25,"=R")</f>
        <v>0</v>
      </c>
      <c r="I25" s="229">
        <f>SUM(D25:H25)</f>
        <v>0</v>
      </c>
      <c r="J25" s="225"/>
      <c r="K25" s="230">
        <f>SUMIFS('Acciones urbanas'!T22:T25,'Acciones urbanas'!J22:J25,"=R")</f>
        <v>0</v>
      </c>
      <c r="L25" s="230">
        <f>SUMIFS('Acciones urbanas'!U22:U25,'Acciones urbanas'!J22:J25,"=R")</f>
        <v>0</v>
      </c>
      <c r="M25" s="230">
        <f>SUMIFS('Acciones urbanas'!V22:V25,'Acciones urbanas'!J22:J25,"=R")</f>
        <v>0</v>
      </c>
      <c r="N25" s="230">
        <f>SUMIFS('Acciones urbanas'!W22:W25,'Acciones urbanas'!J22:J25,"=R")</f>
        <v>0</v>
      </c>
      <c r="O25" s="230">
        <f>SUMIFS('Acciones urbanas'!X22:X25,'Acciones urbanas'!J22:J25,"=R")</f>
        <v>0</v>
      </c>
      <c r="P25" s="230">
        <f t="shared" si="6"/>
        <v>0</v>
      </c>
    </row>
    <row r="26" spans="2:16" ht="23.25" customHeight="1" x14ac:dyDescent="0.2">
      <c r="B26" s="376"/>
      <c r="C26" s="377"/>
      <c r="D26" s="229"/>
      <c r="E26" s="229"/>
      <c r="F26" s="229"/>
      <c r="G26" s="229"/>
      <c r="H26" s="229"/>
      <c r="I26" s="229"/>
      <c r="J26" s="225"/>
      <c r="K26" s="230"/>
      <c r="L26" s="230"/>
      <c r="M26" s="230"/>
      <c r="N26" s="230"/>
      <c r="O26" s="230"/>
      <c r="P26" s="230"/>
    </row>
    <row r="27" spans="2:16" ht="23.25" customHeight="1" x14ac:dyDescent="0.2">
      <c r="B27" s="231" t="s">
        <v>27</v>
      </c>
      <c r="C27" s="232"/>
      <c r="D27" s="224">
        <f t="shared" ref="D27:I27" si="7">SUM(D28:D30)</f>
        <v>0</v>
      </c>
      <c r="E27" s="224">
        <f t="shared" si="7"/>
        <v>0</v>
      </c>
      <c r="F27" s="224">
        <f t="shared" si="7"/>
        <v>0</v>
      </c>
      <c r="G27" s="224">
        <f t="shared" si="7"/>
        <v>0</v>
      </c>
      <c r="H27" s="224">
        <f t="shared" si="7"/>
        <v>0</v>
      </c>
      <c r="I27" s="224">
        <f t="shared" si="7"/>
        <v>0</v>
      </c>
      <c r="J27" s="225"/>
      <c r="K27" s="226">
        <f t="shared" ref="K27:P27" si="8">SUM(K28:K30)</f>
        <v>0</v>
      </c>
      <c r="L27" s="226">
        <f t="shared" si="8"/>
        <v>0</v>
      </c>
      <c r="M27" s="226">
        <f t="shared" si="8"/>
        <v>0</v>
      </c>
      <c r="N27" s="226">
        <f t="shared" si="8"/>
        <v>0</v>
      </c>
      <c r="O27" s="226">
        <f t="shared" si="8"/>
        <v>0</v>
      </c>
      <c r="P27" s="226">
        <f t="shared" si="8"/>
        <v>0</v>
      </c>
    </row>
    <row r="28" spans="2:16" ht="23.25" customHeight="1" x14ac:dyDescent="0.2">
      <c r="B28" s="227" t="s">
        <v>21</v>
      </c>
      <c r="C28" s="228"/>
      <c r="D28" s="229">
        <f>SUMIFS('Acciones rurales'!T28:T31,'Acciones rurales'!J28:J31,"=N")</f>
        <v>0</v>
      </c>
      <c r="E28" s="229">
        <f>SUMIFS('Acciones rurales'!U28:U31,'Acciones rurales'!J28:J31,"=N")</f>
        <v>0</v>
      </c>
      <c r="F28" s="229">
        <f>SUMIFS('Acciones rurales'!V28:V31,'Acciones rurales'!J28:J31,"=N")</f>
        <v>0</v>
      </c>
      <c r="G28" s="229">
        <f>SUMIFS('Acciones rurales'!W28:W31,'Acciones rurales'!J28:J31,"=N")</f>
        <v>0</v>
      </c>
      <c r="H28" s="229">
        <f>SUMIFS('Acciones rurales'!X28:X31,'Acciones rurales'!J28:J31,"=N")</f>
        <v>0</v>
      </c>
      <c r="I28" s="229">
        <f>SUM(D28:H28)</f>
        <v>0</v>
      </c>
      <c r="J28" s="225"/>
      <c r="K28" s="230">
        <f>SUMIFS('Acciones urbanas'!T28:T31,'Acciones urbanas'!J28:J31,"=N")</f>
        <v>0</v>
      </c>
      <c r="L28" s="230">
        <f>SUMIFS('Acciones urbanas'!U28:U31,'Acciones urbanas'!J28:J31,"=N")</f>
        <v>0</v>
      </c>
      <c r="M28" s="230">
        <f>SUMIFS('Acciones urbanas'!V28:V31,'Acciones urbanas'!J28:J31,"=N")</f>
        <v>0</v>
      </c>
      <c r="N28" s="230">
        <f>SUMIFS('Acciones urbanas'!W28:W31,'Acciones urbanas'!J28:J31,"=N")</f>
        <v>0</v>
      </c>
      <c r="O28" s="230">
        <f>SUMIFS('Acciones urbanas'!X28:X31,'Acciones urbanas'!J28:J31,"=N")</f>
        <v>0</v>
      </c>
      <c r="P28" s="230">
        <f t="shared" ref="P28:P29" si="9">SUM(K28:O28)</f>
        <v>0</v>
      </c>
    </row>
    <row r="29" spans="2:16" ht="23.25" customHeight="1" x14ac:dyDescent="0.2">
      <c r="B29" s="374" t="s">
        <v>22</v>
      </c>
      <c r="C29" s="375"/>
      <c r="D29" s="229">
        <f>SUMIFS('Acciones rurales'!T28:T31,'Acciones rurales'!J28:J31,"=R")</f>
        <v>0</v>
      </c>
      <c r="E29" s="229">
        <f>SUMIFS('Acciones rurales'!U28:U31,'Acciones rurales'!J28:J31,"=R")</f>
        <v>0</v>
      </c>
      <c r="F29" s="229">
        <f>SUMIFS('Acciones rurales'!V28:V31,'Acciones rurales'!J28:J31,"=R")</f>
        <v>0</v>
      </c>
      <c r="G29" s="229">
        <f>SUMIFS('Acciones rurales'!W28:W31,'Acciones rurales'!J28:J31,"=R")</f>
        <v>0</v>
      </c>
      <c r="H29" s="229">
        <f>SUMIFS('Acciones rurales'!X28:X31,'Acciones rurales'!J28:J31,"=R")</f>
        <v>0</v>
      </c>
      <c r="I29" s="229">
        <f>SUM(D29:H29)</f>
        <v>0</v>
      </c>
      <c r="J29" s="225"/>
      <c r="K29" s="230">
        <f>SUMIFS('Acciones urbanas'!T28:T31,'Acciones urbanas'!J28:J31,"=R")</f>
        <v>0</v>
      </c>
      <c r="L29" s="230">
        <f>SUMIFS('Acciones urbanas'!U28:U31,'Acciones urbanas'!J28:J31,"=R")</f>
        <v>0</v>
      </c>
      <c r="M29" s="230">
        <f>SUMIFS('Acciones urbanas'!V28:V31,'Acciones urbanas'!J28:J31,"=R")</f>
        <v>0</v>
      </c>
      <c r="N29" s="230">
        <f>SUMIFS('Acciones urbanas'!W28:W31,'Acciones urbanas'!J28:J31,"=R")</f>
        <v>0</v>
      </c>
      <c r="O29" s="230">
        <f>SUMIFS('Acciones urbanas'!X28:X31,'Acciones urbanas'!J28:J31,"=R")</f>
        <v>0</v>
      </c>
      <c r="P29" s="230">
        <f t="shared" si="9"/>
        <v>0</v>
      </c>
    </row>
    <row r="30" spans="2:16" ht="23.25" customHeight="1" x14ac:dyDescent="0.2">
      <c r="B30" s="376"/>
      <c r="C30" s="377"/>
      <c r="D30" s="229"/>
      <c r="E30" s="229"/>
      <c r="F30" s="229"/>
      <c r="G30" s="229"/>
      <c r="H30" s="229"/>
      <c r="I30" s="229"/>
      <c r="J30" s="225"/>
      <c r="K30" s="230"/>
      <c r="L30" s="230"/>
      <c r="M30" s="230"/>
      <c r="N30" s="230"/>
      <c r="O30" s="230"/>
      <c r="P30" s="230"/>
    </row>
    <row r="31" spans="2:16" ht="23.25" customHeight="1" x14ac:dyDescent="0.2">
      <c r="B31" s="355" t="s">
        <v>24</v>
      </c>
      <c r="C31" s="356"/>
      <c r="D31" s="224">
        <f>'Acciones rurales'!T34</f>
        <v>0</v>
      </c>
      <c r="E31" s="224">
        <f>'Acciones rurales'!U34</f>
        <v>0</v>
      </c>
      <c r="F31" s="224">
        <f>'Acciones rurales'!V34</f>
        <v>0</v>
      </c>
      <c r="G31" s="224">
        <f>'Acciones rurales'!W34</f>
        <v>0</v>
      </c>
      <c r="H31" s="224">
        <f>'Acciones rurales'!X34</f>
        <v>0</v>
      </c>
      <c r="I31" s="224">
        <f>SUM(D31:H31)</f>
        <v>0</v>
      </c>
      <c r="J31" s="225"/>
      <c r="K31" s="226">
        <f>'Acciones urbanas'!T34</f>
        <v>0</v>
      </c>
      <c r="L31" s="226">
        <f>'Acciones urbanas'!U34</f>
        <v>0</v>
      </c>
      <c r="M31" s="226">
        <f>'Acciones urbanas'!V34</f>
        <v>0</v>
      </c>
      <c r="N31" s="226">
        <f>'Acciones urbanas'!W34</f>
        <v>0</v>
      </c>
      <c r="O31" s="226">
        <f>'Acciones urbanas'!X34</f>
        <v>0</v>
      </c>
      <c r="P31" s="226">
        <f t="shared" ref="P31:P33" si="10">SUM(K31:O31)</f>
        <v>0</v>
      </c>
    </row>
    <row r="32" spans="2:16" ht="23.25" customHeight="1" x14ac:dyDescent="0.2">
      <c r="B32" s="355" t="s">
        <v>25</v>
      </c>
      <c r="C32" s="356"/>
      <c r="D32" s="224">
        <f>'Acciones rurales'!T35</f>
        <v>0</v>
      </c>
      <c r="E32" s="224">
        <f>'Acciones rurales'!U35</f>
        <v>0</v>
      </c>
      <c r="F32" s="224">
        <f>'Acciones rurales'!V35</f>
        <v>0</v>
      </c>
      <c r="G32" s="224">
        <f>'Acciones rurales'!W35</f>
        <v>0</v>
      </c>
      <c r="H32" s="224">
        <f>'Acciones rurales'!X35</f>
        <v>0</v>
      </c>
      <c r="I32" s="224">
        <f t="shared" ref="I32:I33" si="11">SUM(D32:H32)</f>
        <v>0</v>
      </c>
      <c r="J32" s="225"/>
      <c r="K32" s="226">
        <f>'Acciones urbanas'!T35</f>
        <v>0</v>
      </c>
      <c r="L32" s="226">
        <f>'Acciones urbanas'!U35</f>
        <v>0</v>
      </c>
      <c r="M32" s="226">
        <f>'Acciones urbanas'!V35</f>
        <v>0</v>
      </c>
      <c r="N32" s="226">
        <f>'Acciones urbanas'!W35</f>
        <v>0</v>
      </c>
      <c r="O32" s="226">
        <f>'Acciones urbanas'!X35</f>
        <v>0</v>
      </c>
      <c r="P32" s="226">
        <f t="shared" si="10"/>
        <v>0</v>
      </c>
    </row>
    <row r="33" spans="2:22" ht="23.25" customHeight="1" x14ac:dyDescent="0.2">
      <c r="B33" s="355" t="s">
        <v>28</v>
      </c>
      <c r="C33" s="356"/>
      <c r="D33" s="224">
        <f>'Acciones rurales'!T36</f>
        <v>0</v>
      </c>
      <c r="E33" s="224">
        <f>'Acciones rurales'!U36</f>
        <v>0</v>
      </c>
      <c r="F33" s="224">
        <f>'Acciones rurales'!V36</f>
        <v>0</v>
      </c>
      <c r="G33" s="224">
        <f>'Acciones rurales'!W36</f>
        <v>0</v>
      </c>
      <c r="H33" s="224">
        <f>'Acciones rurales'!X36</f>
        <v>0</v>
      </c>
      <c r="I33" s="224">
        <f t="shared" si="11"/>
        <v>0</v>
      </c>
      <c r="J33" s="225"/>
      <c r="K33" s="226">
        <f>'Acciones urbanas'!T36</f>
        <v>0</v>
      </c>
      <c r="L33" s="226">
        <f>'Acciones urbanas'!U36</f>
        <v>0</v>
      </c>
      <c r="M33" s="226">
        <f>'Acciones urbanas'!V36</f>
        <v>0</v>
      </c>
      <c r="N33" s="226">
        <f>'Acciones urbanas'!W36</f>
        <v>0</v>
      </c>
      <c r="O33" s="226">
        <f>'Acciones urbanas'!X36</f>
        <v>0</v>
      </c>
      <c r="P33" s="226">
        <f t="shared" si="10"/>
        <v>0</v>
      </c>
    </row>
    <row r="34" spans="2:22" s="10" customFormat="1" ht="8.25" customHeight="1" x14ac:dyDescent="0.2">
      <c r="D34" s="233"/>
      <c r="E34" s="233"/>
      <c r="F34" s="233"/>
      <c r="G34" s="233"/>
      <c r="H34" s="233"/>
      <c r="I34" s="233"/>
      <c r="J34" s="234"/>
      <c r="K34" s="233"/>
      <c r="L34" s="233"/>
      <c r="M34" s="233"/>
      <c r="N34" s="233"/>
      <c r="O34" s="233"/>
      <c r="P34" s="233"/>
    </row>
    <row r="35" spans="2:22" ht="25.5" customHeight="1" x14ac:dyDescent="0.2">
      <c r="B35" s="372" t="s">
        <v>29</v>
      </c>
      <c r="C35" s="373"/>
      <c r="D35" s="224">
        <f>D19+D23+D27+SUM(D31:D33)</f>
        <v>0</v>
      </c>
      <c r="E35" s="224">
        <f t="shared" ref="E35:I35" si="12">E19+E23+E27+SUM(E31:E33)</f>
        <v>0</v>
      </c>
      <c r="F35" s="224">
        <f t="shared" si="12"/>
        <v>0</v>
      </c>
      <c r="G35" s="224">
        <f t="shared" si="12"/>
        <v>0</v>
      </c>
      <c r="H35" s="224">
        <f t="shared" si="12"/>
        <v>0</v>
      </c>
      <c r="I35" s="224">
        <f t="shared" si="12"/>
        <v>0</v>
      </c>
      <c r="J35" s="235"/>
      <c r="K35" s="226">
        <f>K19+K23+K27+SUM(K31:K33)</f>
        <v>0</v>
      </c>
      <c r="L35" s="226">
        <f t="shared" ref="L35:P35" si="13">L19+L23+L27+SUM(L31:L33)</f>
        <v>0</v>
      </c>
      <c r="M35" s="226">
        <f t="shared" si="13"/>
        <v>0</v>
      </c>
      <c r="N35" s="226">
        <f t="shared" si="13"/>
        <v>0</v>
      </c>
      <c r="O35" s="226">
        <f t="shared" si="13"/>
        <v>0</v>
      </c>
      <c r="P35" s="226">
        <f t="shared" si="13"/>
        <v>0</v>
      </c>
    </row>
    <row r="36" spans="2:22" ht="12.75" customHeight="1" thickBot="1" x14ac:dyDescent="0.25">
      <c r="B36" s="236"/>
      <c r="D36" s="237"/>
      <c r="E36" s="237"/>
      <c r="F36" s="237"/>
      <c r="G36" s="237"/>
      <c r="H36" s="237"/>
      <c r="I36" s="237"/>
      <c r="J36" s="237"/>
      <c r="K36" s="238"/>
      <c r="L36" s="238"/>
      <c r="M36" s="238"/>
      <c r="N36" s="238"/>
      <c r="O36" s="238"/>
      <c r="P36" s="238"/>
    </row>
    <row r="37" spans="2:22" ht="18.75" thickBot="1" x14ac:dyDescent="0.25">
      <c r="B37" s="236"/>
      <c r="D37" s="237"/>
      <c r="E37" s="237"/>
      <c r="F37" s="237"/>
      <c r="G37" s="237"/>
      <c r="H37" s="237"/>
      <c r="I37" s="239" t="s">
        <v>73</v>
      </c>
      <c r="J37" s="240"/>
      <c r="K37" s="241">
        <f>D35+K35</f>
        <v>0</v>
      </c>
      <c r="L37" s="241">
        <f t="shared" ref="L37:O37" si="14">E35+L35</f>
        <v>0</v>
      </c>
      <c r="M37" s="241">
        <f t="shared" si="14"/>
        <v>0</v>
      </c>
      <c r="N37" s="241">
        <f t="shared" si="14"/>
        <v>0</v>
      </c>
      <c r="O37" s="241">
        <f t="shared" si="14"/>
        <v>0</v>
      </c>
      <c r="P37" s="241">
        <f>SUM(K37:O37)</f>
        <v>0</v>
      </c>
    </row>
    <row r="38" spans="2:22" ht="12.75" customHeight="1" x14ac:dyDescent="0.2">
      <c r="B38" s="236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</row>
    <row r="39" spans="2:22" ht="18" x14ac:dyDescent="0.25">
      <c r="B39" s="242" t="s">
        <v>172</v>
      </c>
      <c r="C39" s="243"/>
      <c r="D39" s="244"/>
      <c r="E39" s="245"/>
      <c r="F39" s="245"/>
      <c r="G39" s="245"/>
      <c r="H39" s="245"/>
      <c r="I39" s="245"/>
      <c r="J39" s="245"/>
      <c r="K39" s="244"/>
      <c r="L39" s="245"/>
      <c r="M39" s="245"/>
      <c r="N39" s="245"/>
      <c r="O39" s="245"/>
      <c r="P39" s="245"/>
    </row>
    <row r="40" spans="2:22" ht="18" x14ac:dyDescent="0.25">
      <c r="B40" s="246" t="s">
        <v>84</v>
      </c>
      <c r="C40" s="243"/>
      <c r="D40" s="244"/>
      <c r="E40" s="245"/>
      <c r="F40" s="245"/>
      <c r="G40" s="245"/>
      <c r="H40" s="245"/>
      <c r="I40" s="245"/>
      <c r="J40" s="245"/>
      <c r="K40" s="244"/>
      <c r="L40" s="245"/>
      <c r="M40" s="245"/>
      <c r="N40" s="245"/>
      <c r="O40" s="245"/>
      <c r="P40" s="245"/>
    </row>
    <row r="41" spans="2:22" ht="21" customHeight="1" x14ac:dyDescent="0.25">
      <c r="B41" s="11"/>
      <c r="C41" s="247"/>
      <c r="D41" s="11"/>
      <c r="E41" s="245"/>
      <c r="F41" s="245"/>
      <c r="G41" s="245"/>
      <c r="H41" s="245"/>
      <c r="I41" s="245"/>
      <c r="J41" s="245"/>
      <c r="K41" s="11"/>
      <c r="L41" s="245"/>
      <c r="M41" s="245"/>
      <c r="N41" s="245"/>
      <c r="O41" s="245"/>
      <c r="P41" s="245"/>
    </row>
    <row r="42" spans="2:22" ht="18" x14ac:dyDescent="0.25">
      <c r="B42" s="248" t="s">
        <v>30</v>
      </c>
      <c r="C42" s="247"/>
      <c r="D42" s="12"/>
      <c r="E42" s="245"/>
      <c r="F42" s="245"/>
      <c r="G42" s="245"/>
      <c r="H42" s="245"/>
      <c r="I42" s="245"/>
      <c r="J42" s="245"/>
      <c r="K42" s="12"/>
      <c r="L42" s="245"/>
      <c r="M42" s="245"/>
      <c r="N42" s="245"/>
      <c r="O42" s="245"/>
      <c r="P42" s="245"/>
    </row>
    <row r="43" spans="2:22" ht="18" x14ac:dyDescent="0.25">
      <c r="B43" s="249"/>
      <c r="C43" s="247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</row>
    <row r="44" spans="2:22" ht="15" customHeight="1" x14ac:dyDescent="0.25">
      <c r="B44" s="357" t="s">
        <v>52</v>
      </c>
      <c r="C44" s="357"/>
      <c r="D44" s="357"/>
      <c r="E44" s="250"/>
      <c r="F44" s="369" t="s">
        <v>49</v>
      </c>
      <c r="G44" s="369"/>
      <c r="H44" s="369"/>
      <c r="I44" s="369"/>
      <c r="J44" s="369"/>
      <c r="K44" s="369"/>
      <c r="L44" s="250"/>
      <c r="M44" s="370" t="s">
        <v>50</v>
      </c>
      <c r="N44" s="370"/>
      <c r="O44" s="370"/>
      <c r="P44" s="370"/>
      <c r="Q44" s="250"/>
      <c r="R44" s="250"/>
      <c r="S44" s="250"/>
      <c r="T44" s="250"/>
      <c r="U44" s="250"/>
      <c r="V44" s="250"/>
    </row>
    <row r="45" spans="2:22" ht="15" x14ac:dyDescent="0.2">
      <c r="B45" s="371" t="s">
        <v>53</v>
      </c>
      <c r="C45" s="371"/>
      <c r="D45" s="371"/>
      <c r="F45" s="368" t="s">
        <v>51</v>
      </c>
      <c r="G45" s="368"/>
      <c r="H45" s="368"/>
      <c r="I45" s="368"/>
      <c r="J45" s="368"/>
      <c r="K45" s="368"/>
      <c r="M45" s="11"/>
      <c r="N45" s="11"/>
      <c r="O45" s="11"/>
      <c r="P45" s="11"/>
      <c r="Q45" s="251"/>
      <c r="S45" s="251"/>
      <c r="T45" s="251"/>
      <c r="U45" s="251"/>
      <c r="V45" s="251"/>
    </row>
    <row r="46" spans="2:22" ht="15" x14ac:dyDescent="0.2">
      <c r="B46" s="357" t="s">
        <v>54</v>
      </c>
      <c r="C46" s="357"/>
      <c r="D46" s="357"/>
      <c r="F46" s="252"/>
      <c r="G46" s="252"/>
      <c r="H46" s="253"/>
      <c r="I46" s="254"/>
      <c r="J46" s="252"/>
      <c r="K46" s="252"/>
      <c r="M46" s="11"/>
      <c r="N46" s="11"/>
      <c r="O46" s="11"/>
      <c r="P46" s="11"/>
      <c r="Q46" s="255"/>
      <c r="R46" s="255"/>
      <c r="S46" s="255"/>
      <c r="T46" s="256"/>
      <c r="U46" s="256"/>
      <c r="V46" s="256"/>
    </row>
    <row r="47" spans="2:22" ht="15" x14ac:dyDescent="0.2">
      <c r="B47" s="256"/>
      <c r="C47" s="257"/>
      <c r="D47" s="257"/>
      <c r="F47" s="252"/>
      <c r="G47" s="252"/>
      <c r="H47" s="253"/>
      <c r="I47" s="254"/>
      <c r="J47" s="252"/>
      <c r="K47" s="252"/>
      <c r="M47" s="11"/>
      <c r="N47" s="254"/>
      <c r="O47" s="254"/>
      <c r="P47" s="252"/>
      <c r="Q47" s="258"/>
      <c r="R47" s="258"/>
      <c r="S47" s="258"/>
      <c r="T47" s="256"/>
      <c r="U47" s="256"/>
      <c r="V47" s="256"/>
    </row>
    <row r="48" spans="2:22" ht="15" x14ac:dyDescent="0.25">
      <c r="B48" s="47"/>
      <c r="C48" s="47"/>
      <c r="D48" s="47"/>
      <c r="F48" s="259"/>
      <c r="G48" s="259"/>
      <c r="H48" s="260"/>
      <c r="I48" s="261"/>
      <c r="J48" s="262"/>
      <c r="K48" s="262"/>
      <c r="M48" s="261"/>
      <c r="N48" s="261"/>
      <c r="O48" s="263"/>
      <c r="P48" s="263"/>
      <c r="Q48" s="258"/>
      <c r="R48" s="258"/>
      <c r="S48" s="258"/>
      <c r="T48" s="256"/>
      <c r="U48" s="256"/>
      <c r="V48" s="256"/>
    </row>
    <row r="49" spans="2:22" ht="15" x14ac:dyDescent="0.25">
      <c r="B49" s="358" t="s">
        <v>55</v>
      </c>
      <c r="C49" s="358"/>
      <c r="D49" s="358"/>
      <c r="F49" s="359" t="s">
        <v>55</v>
      </c>
      <c r="G49" s="359"/>
      <c r="H49" s="359"/>
      <c r="I49" s="359"/>
      <c r="J49" s="359"/>
      <c r="K49" s="359"/>
      <c r="M49" s="360" t="s">
        <v>55</v>
      </c>
      <c r="N49" s="360"/>
      <c r="O49" s="360"/>
      <c r="P49" s="360"/>
      <c r="Q49" s="264"/>
      <c r="R49" s="258"/>
      <c r="S49" s="258"/>
      <c r="T49" s="256"/>
      <c r="U49" s="256"/>
      <c r="V49" s="256"/>
    </row>
  </sheetData>
  <mergeCells count="31">
    <mergeCell ref="B30:C30"/>
    <mergeCell ref="B19:C19"/>
    <mergeCell ref="E3:P3"/>
    <mergeCell ref="E4:P4"/>
    <mergeCell ref="E5:P5"/>
    <mergeCell ref="E7:P7"/>
    <mergeCell ref="B8:P10"/>
    <mergeCell ref="B15:C17"/>
    <mergeCell ref="D15:I15"/>
    <mergeCell ref="C6:P6"/>
    <mergeCell ref="M49:P49"/>
    <mergeCell ref="K15:P15"/>
    <mergeCell ref="D16:I16"/>
    <mergeCell ref="K16:P16"/>
    <mergeCell ref="F45:K45"/>
    <mergeCell ref="B44:D44"/>
    <mergeCell ref="F44:K44"/>
    <mergeCell ref="M44:P44"/>
    <mergeCell ref="B45:D45"/>
    <mergeCell ref="B33:C33"/>
    <mergeCell ref="B35:C35"/>
    <mergeCell ref="B21:C21"/>
    <mergeCell ref="B22:C22"/>
    <mergeCell ref="B25:C25"/>
    <mergeCell ref="B26:C26"/>
    <mergeCell ref="B29:C29"/>
    <mergeCell ref="B31:C31"/>
    <mergeCell ref="B32:C32"/>
    <mergeCell ref="B46:D46"/>
    <mergeCell ref="B49:D49"/>
    <mergeCell ref="F49:K49"/>
  </mergeCells>
  <printOptions horizontalCentered="1"/>
  <pageMargins left="0.39370078740157483" right="0.39370078740157483" top="0.59055118110236227" bottom="0.39370078740157483" header="0.31496062992125984" footer="0.31496062992125984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3"/>
  <sheetViews>
    <sheetView showGridLines="0" showRuler="0" zoomScale="40" zoomScaleNormal="40" zoomScaleSheetLayoutView="25" zoomScalePageLayoutView="30" workbookViewId="0">
      <selection activeCell="F4" sqref="F4:AC4"/>
    </sheetView>
  </sheetViews>
  <sheetFormatPr baseColWidth="10" defaultRowHeight="15" x14ac:dyDescent="0.2"/>
  <cols>
    <col min="1" max="2" width="1.625" style="14" customWidth="1"/>
    <col min="3" max="3" width="6.375" style="17" customWidth="1"/>
    <col min="4" max="4" width="19.125" style="17" customWidth="1"/>
    <col min="5" max="5" width="20.5" style="14" customWidth="1"/>
    <col min="6" max="7" width="24.5" style="18" customWidth="1"/>
    <col min="8" max="8" width="19" style="18" customWidth="1"/>
    <col min="9" max="9" width="113.5" style="14" customWidth="1"/>
    <col min="10" max="10" width="15.125" style="14" customWidth="1"/>
    <col min="11" max="11" width="16.75" style="14" customWidth="1"/>
    <col min="12" max="12" width="12.125" style="14" customWidth="1"/>
    <col min="13" max="13" width="13.625" style="14" customWidth="1"/>
    <col min="14" max="14" width="10.5" style="14" customWidth="1"/>
    <col min="15" max="15" width="9.625" style="14" customWidth="1"/>
    <col min="16" max="16" width="11.125" style="14" customWidth="1"/>
    <col min="17" max="17" width="12.875" style="14" customWidth="1"/>
    <col min="18" max="18" width="19.875" style="14" customWidth="1"/>
    <col min="19" max="19" width="2.75" style="19" customWidth="1"/>
    <col min="20" max="25" width="15.875" style="14" customWidth="1"/>
    <col min="26" max="26" width="13.625" style="14" customWidth="1"/>
    <col min="27" max="27" width="15.625" style="14" customWidth="1"/>
    <col min="28" max="28" width="14.375" style="14" customWidth="1"/>
    <col min="29" max="29" width="15.25" style="14" customWidth="1"/>
    <col min="30" max="30" width="4.5" style="14" customWidth="1"/>
    <col min="31" max="16384" width="11" style="14"/>
  </cols>
  <sheetData>
    <row r="1" spans="3:29" ht="10.5" customHeight="1" x14ac:dyDescent="0.2"/>
    <row r="2" spans="3:29" s="21" customFormat="1" ht="3.75" customHeight="1" x14ac:dyDescent="0.2"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3:29" s="21" customFormat="1" ht="33" customHeight="1" x14ac:dyDescent="0.2">
      <c r="C3" s="20"/>
      <c r="D3" s="20"/>
      <c r="E3" s="22"/>
      <c r="F3" s="407" t="s">
        <v>174</v>
      </c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3:29" s="21" customFormat="1" ht="33" customHeight="1" x14ac:dyDescent="0.2">
      <c r="C4" s="20"/>
      <c r="D4" s="20"/>
      <c r="E4" s="23"/>
      <c r="F4" s="407" t="s">
        <v>175</v>
      </c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7"/>
      <c r="AB4" s="407"/>
      <c r="AC4" s="407"/>
    </row>
    <row r="5" spans="3:29" s="21" customFormat="1" ht="33" customHeight="1" x14ac:dyDescent="0.2">
      <c r="C5" s="20"/>
      <c r="D5" s="20"/>
      <c r="E5" s="23"/>
      <c r="F5" s="407" t="s">
        <v>176</v>
      </c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</row>
    <row r="6" spans="3:29" s="21" customFormat="1" ht="24" customHeight="1" x14ac:dyDescent="0.4">
      <c r="C6" s="20"/>
      <c r="D6" s="20"/>
      <c r="E6" s="24"/>
      <c r="F6" s="44"/>
      <c r="G6" s="44"/>
      <c r="H6" s="44"/>
      <c r="I6" s="44"/>
      <c r="J6" s="45"/>
      <c r="K6" s="44"/>
      <c r="L6" s="44"/>
      <c r="M6" s="44"/>
      <c r="N6" s="44"/>
      <c r="O6" s="44"/>
      <c r="P6" s="44"/>
      <c r="Q6" s="44"/>
      <c r="R6" s="44"/>
      <c r="S6" s="44"/>
      <c r="T6" s="44"/>
      <c r="U6" s="46"/>
      <c r="V6" s="46"/>
      <c r="W6" s="46"/>
      <c r="X6" s="46"/>
      <c r="Y6" s="46"/>
      <c r="Z6" s="46"/>
      <c r="AA6" s="46"/>
      <c r="AB6" s="46"/>
      <c r="AC6" s="45"/>
    </row>
    <row r="7" spans="3:29" s="21" customFormat="1" ht="30" x14ac:dyDescent="0.2">
      <c r="C7" s="20"/>
      <c r="D7" s="20"/>
      <c r="E7" s="23"/>
      <c r="F7" s="407" t="s">
        <v>47</v>
      </c>
      <c r="G7" s="407"/>
      <c r="H7" s="407"/>
      <c r="I7" s="407"/>
      <c r="J7" s="407"/>
      <c r="K7" s="407"/>
      <c r="L7" s="407"/>
      <c r="M7" s="407"/>
      <c r="N7" s="407"/>
      <c r="O7" s="407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</row>
    <row r="8" spans="3:29" s="21" customFormat="1" ht="94.5" customHeight="1" x14ac:dyDescent="0.3">
      <c r="C8" s="25"/>
      <c r="D8" s="25"/>
      <c r="E8" s="20"/>
      <c r="F8" s="41"/>
      <c r="G8" s="13"/>
      <c r="H8" s="13"/>
      <c r="I8" s="406" t="s">
        <v>177</v>
      </c>
      <c r="J8" s="406"/>
      <c r="K8" s="406"/>
      <c r="L8" s="406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13"/>
    </row>
    <row r="9" spans="3:29" s="27" customFormat="1" x14ac:dyDescent="0.2">
      <c r="C9" s="19"/>
      <c r="D9" s="19"/>
      <c r="E9" s="19"/>
      <c r="F9" s="19"/>
      <c r="G9" s="19"/>
      <c r="H9" s="1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1"/>
      <c r="W9" s="21"/>
      <c r="X9" s="21"/>
      <c r="Y9" s="21"/>
      <c r="Z9" s="21"/>
    </row>
    <row r="10" spans="3:29" ht="23.25" x14ac:dyDescent="0.35">
      <c r="C10" s="28"/>
      <c r="D10" s="28"/>
      <c r="E10" s="29"/>
      <c r="F10" s="265" t="s">
        <v>31</v>
      </c>
      <c r="G10" s="266"/>
      <c r="H10" s="266"/>
      <c r="I10" s="265" t="s">
        <v>17</v>
      </c>
      <c r="J10" s="267"/>
      <c r="K10" s="267"/>
      <c r="L10" s="267"/>
      <c r="M10" s="266"/>
      <c r="N10" s="266"/>
      <c r="V10" s="21"/>
      <c r="W10" s="21"/>
      <c r="X10" s="21"/>
      <c r="Y10" s="21"/>
      <c r="Z10" s="21"/>
      <c r="AA10" s="16"/>
      <c r="AB10" s="30"/>
      <c r="AC10" s="30"/>
    </row>
    <row r="11" spans="3:29" ht="22.5" customHeight="1" thickBot="1" x14ac:dyDescent="0.25"/>
    <row r="12" spans="3:29" s="42" customFormat="1" ht="22.5" customHeight="1" x14ac:dyDescent="0.25">
      <c r="C12" s="411" t="s">
        <v>0</v>
      </c>
      <c r="D12" s="397" t="s">
        <v>82</v>
      </c>
      <c r="E12" s="397" t="s">
        <v>1</v>
      </c>
      <c r="F12" s="397"/>
      <c r="G12" s="397"/>
      <c r="H12" s="397" t="s">
        <v>67</v>
      </c>
      <c r="I12" s="397" t="s">
        <v>173</v>
      </c>
      <c r="J12" s="397" t="s">
        <v>34</v>
      </c>
      <c r="K12" s="397" t="s">
        <v>60</v>
      </c>
      <c r="L12" s="397" t="s">
        <v>11</v>
      </c>
      <c r="M12" s="397"/>
      <c r="N12" s="397" t="s">
        <v>33</v>
      </c>
      <c r="O12" s="397"/>
      <c r="P12" s="397"/>
      <c r="Q12" s="397"/>
      <c r="R12" s="408"/>
      <c r="S12" s="268"/>
      <c r="T12" s="411" t="s">
        <v>16</v>
      </c>
      <c r="U12" s="397"/>
      <c r="V12" s="397"/>
      <c r="W12" s="397"/>
      <c r="X12" s="397"/>
      <c r="Y12" s="397"/>
      <c r="Z12" s="397" t="s">
        <v>64</v>
      </c>
      <c r="AA12" s="397" t="s">
        <v>42</v>
      </c>
      <c r="AB12" s="397" t="s">
        <v>65</v>
      </c>
      <c r="AC12" s="408" t="s">
        <v>66</v>
      </c>
    </row>
    <row r="13" spans="3:29" s="42" customFormat="1" ht="22.5" customHeight="1" x14ac:dyDescent="0.25">
      <c r="C13" s="412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8"/>
      <c r="P13" s="398"/>
      <c r="Q13" s="398"/>
      <c r="R13" s="409"/>
      <c r="S13" s="268"/>
      <c r="T13" s="412"/>
      <c r="U13" s="398"/>
      <c r="V13" s="398"/>
      <c r="W13" s="398"/>
      <c r="X13" s="398"/>
      <c r="Y13" s="398"/>
      <c r="Z13" s="398"/>
      <c r="AA13" s="398"/>
      <c r="AB13" s="398"/>
      <c r="AC13" s="409"/>
    </row>
    <row r="14" spans="3:29" s="42" customFormat="1" ht="53.25" customHeight="1" thickBot="1" x14ac:dyDescent="0.3">
      <c r="C14" s="413"/>
      <c r="D14" s="402"/>
      <c r="E14" s="269" t="s">
        <v>2</v>
      </c>
      <c r="F14" s="269" t="s">
        <v>3</v>
      </c>
      <c r="G14" s="269" t="s">
        <v>4</v>
      </c>
      <c r="H14" s="402"/>
      <c r="I14" s="402"/>
      <c r="J14" s="402"/>
      <c r="K14" s="269" t="s">
        <v>32</v>
      </c>
      <c r="L14" s="269" t="s">
        <v>12</v>
      </c>
      <c r="M14" s="269" t="s">
        <v>13</v>
      </c>
      <c r="N14" s="269" t="s">
        <v>5</v>
      </c>
      <c r="O14" s="269" t="s">
        <v>6</v>
      </c>
      <c r="P14" s="269" t="s">
        <v>7</v>
      </c>
      <c r="Q14" s="269" t="s">
        <v>9</v>
      </c>
      <c r="R14" s="270" t="s">
        <v>10</v>
      </c>
      <c r="S14" s="268"/>
      <c r="T14" s="271" t="s">
        <v>8</v>
      </c>
      <c r="U14" s="269" t="s">
        <v>14</v>
      </c>
      <c r="V14" s="269" t="s">
        <v>15</v>
      </c>
      <c r="W14" s="269" t="s">
        <v>76</v>
      </c>
      <c r="X14" s="269" t="s">
        <v>77</v>
      </c>
      <c r="Y14" s="269" t="s">
        <v>18</v>
      </c>
      <c r="Z14" s="402"/>
      <c r="AA14" s="402"/>
      <c r="AB14" s="402"/>
      <c r="AC14" s="410"/>
    </row>
    <row r="15" spans="3:29" s="19" customFormat="1" ht="44.25" customHeight="1" x14ac:dyDescent="0.2">
      <c r="C15" s="31"/>
      <c r="D15" s="31"/>
      <c r="E15" s="272" t="s">
        <v>48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spans="3:29" ht="75" customHeight="1" x14ac:dyDescent="0.2">
      <c r="C16" s="273">
        <v>1</v>
      </c>
      <c r="D16" s="273"/>
      <c r="E16" s="273"/>
      <c r="F16" s="274"/>
      <c r="G16" s="274"/>
      <c r="H16" s="275"/>
      <c r="I16" s="275"/>
      <c r="J16" s="275"/>
      <c r="K16" s="276"/>
      <c r="L16" s="277"/>
      <c r="M16" s="277"/>
      <c r="N16" s="277"/>
      <c r="O16" s="277"/>
      <c r="P16" s="277"/>
      <c r="Q16" s="277"/>
      <c r="R16" s="277"/>
      <c r="S16" s="278"/>
      <c r="T16" s="277"/>
      <c r="U16" s="277"/>
      <c r="V16" s="277"/>
      <c r="W16" s="277"/>
      <c r="X16" s="277"/>
      <c r="Y16" s="277">
        <f>SUM(T16:X16)</f>
        <v>0</v>
      </c>
      <c r="Z16" s="279"/>
      <c r="AA16" s="280"/>
      <c r="AB16" s="281"/>
      <c r="AC16" s="282"/>
    </row>
    <row r="17" spans="1:29" ht="75" customHeight="1" x14ac:dyDescent="0.2">
      <c r="C17" s="273">
        <v>2</v>
      </c>
      <c r="D17" s="273"/>
      <c r="E17" s="273"/>
      <c r="F17" s="274"/>
      <c r="G17" s="274"/>
      <c r="H17" s="275"/>
      <c r="I17" s="275"/>
      <c r="J17" s="275"/>
      <c r="K17" s="276"/>
      <c r="L17" s="277"/>
      <c r="M17" s="277"/>
      <c r="N17" s="283"/>
      <c r="O17" s="283"/>
      <c r="P17" s="283"/>
      <c r="Q17" s="283"/>
      <c r="R17" s="283"/>
      <c r="S17" s="278"/>
      <c r="T17" s="283"/>
      <c r="U17" s="283"/>
      <c r="V17" s="283"/>
      <c r="W17" s="283"/>
      <c r="X17" s="283"/>
      <c r="Y17" s="277">
        <f t="shared" ref="Y17:Y19" si="0">SUM(T17:X17)</f>
        <v>0</v>
      </c>
      <c r="Z17" s="279"/>
      <c r="AA17" s="280"/>
      <c r="AB17" s="281"/>
      <c r="AC17" s="282"/>
    </row>
    <row r="18" spans="1:29" ht="75" customHeight="1" x14ac:dyDescent="0.2">
      <c r="C18" s="273">
        <v>3</v>
      </c>
      <c r="D18" s="273"/>
      <c r="E18" s="273"/>
      <c r="F18" s="274"/>
      <c r="G18" s="274"/>
      <c r="H18" s="275"/>
      <c r="I18" s="275"/>
      <c r="J18" s="275"/>
      <c r="K18" s="276"/>
      <c r="L18" s="277"/>
      <c r="M18" s="277"/>
      <c r="N18" s="283"/>
      <c r="O18" s="283"/>
      <c r="P18" s="283"/>
      <c r="Q18" s="283"/>
      <c r="R18" s="283"/>
      <c r="S18" s="278"/>
      <c r="T18" s="283"/>
      <c r="U18" s="283"/>
      <c r="V18" s="283"/>
      <c r="W18" s="283"/>
      <c r="X18" s="283"/>
      <c r="Y18" s="277">
        <f t="shared" si="0"/>
        <v>0</v>
      </c>
      <c r="Z18" s="279"/>
      <c r="AA18" s="280"/>
      <c r="AB18" s="281"/>
      <c r="AC18" s="282"/>
    </row>
    <row r="19" spans="1:29" ht="75" customHeight="1" thickBot="1" x14ac:dyDescent="0.25">
      <c r="C19" s="273">
        <v>4</v>
      </c>
      <c r="D19" s="273"/>
      <c r="E19" s="273"/>
      <c r="F19" s="274"/>
      <c r="G19" s="274"/>
      <c r="H19" s="276"/>
      <c r="I19" s="276"/>
      <c r="J19" s="275"/>
      <c r="K19" s="276"/>
      <c r="L19" s="277"/>
      <c r="M19" s="277"/>
      <c r="N19" s="283"/>
      <c r="O19" s="283"/>
      <c r="P19" s="283"/>
      <c r="Q19" s="283"/>
      <c r="R19" s="283"/>
      <c r="S19" s="278"/>
      <c r="T19" s="283"/>
      <c r="U19" s="283"/>
      <c r="V19" s="283"/>
      <c r="W19" s="283"/>
      <c r="X19" s="283"/>
      <c r="Y19" s="277">
        <f t="shared" si="0"/>
        <v>0</v>
      </c>
      <c r="Z19" s="279"/>
      <c r="AA19" s="280"/>
      <c r="AB19" s="281"/>
      <c r="AC19" s="282"/>
    </row>
    <row r="20" spans="1:29" ht="56.25" customHeight="1" thickBot="1" x14ac:dyDescent="0.25">
      <c r="A20" s="32"/>
      <c r="B20" s="32"/>
      <c r="C20" s="32"/>
      <c r="D20" s="32"/>
      <c r="E20" s="32"/>
      <c r="F20" s="32"/>
      <c r="G20" s="32"/>
      <c r="H20" s="32"/>
      <c r="J20" s="284"/>
      <c r="K20" s="285"/>
      <c r="L20" s="286" t="s">
        <v>61</v>
      </c>
      <c r="N20" s="287">
        <f>SUM(N16:N19)</f>
        <v>0</v>
      </c>
      <c r="O20" s="287">
        <f>SUM(O16:O19)</f>
        <v>0</v>
      </c>
      <c r="P20" s="287">
        <f>SUM(P16:P19)</f>
        <v>0</v>
      </c>
      <c r="Q20" s="287">
        <f>SUM(Q16:Q19)</f>
        <v>0</v>
      </c>
      <c r="R20" s="287">
        <f>SUM(R16:R19)</f>
        <v>0</v>
      </c>
      <c r="S20" s="288"/>
      <c r="T20" s="287">
        <f>SUM(T16:T19)</f>
        <v>0</v>
      </c>
      <c r="U20" s="287">
        <f t="shared" ref="U20:Y20" si="1">SUM(U16:U19)</f>
        <v>0</v>
      </c>
      <c r="V20" s="287">
        <f t="shared" si="1"/>
        <v>0</v>
      </c>
      <c r="W20" s="287">
        <f t="shared" si="1"/>
        <v>0</v>
      </c>
      <c r="X20" s="287">
        <f t="shared" si="1"/>
        <v>0</v>
      </c>
      <c r="Y20" s="287">
        <f t="shared" si="1"/>
        <v>0</v>
      </c>
      <c r="Z20" s="289"/>
      <c r="AA20" s="290"/>
      <c r="AB20" s="291"/>
      <c r="AC20" s="292"/>
    </row>
    <row r="21" spans="1:29" s="19" customFormat="1" ht="43.5" customHeight="1" x14ac:dyDescent="0.2">
      <c r="C21" s="31"/>
      <c r="D21" s="31"/>
      <c r="E21" s="272" t="s">
        <v>26</v>
      </c>
      <c r="F21" s="293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4"/>
      <c r="U21" s="294"/>
      <c r="V21" s="294"/>
      <c r="W21" s="294"/>
      <c r="X21" s="294"/>
      <c r="Y21" s="294"/>
      <c r="Z21" s="31"/>
      <c r="AA21" s="31"/>
      <c r="AB21" s="31"/>
      <c r="AC21" s="31"/>
    </row>
    <row r="22" spans="1:29" ht="75" customHeight="1" x14ac:dyDescent="0.2">
      <c r="C22" s="273">
        <v>5</v>
      </c>
      <c r="D22" s="273"/>
      <c r="E22" s="273"/>
      <c r="F22" s="274"/>
      <c r="G22" s="274"/>
      <c r="H22" s="275"/>
      <c r="I22" s="275"/>
      <c r="J22" s="275"/>
      <c r="K22" s="276"/>
      <c r="L22" s="277"/>
      <c r="M22" s="277"/>
      <c r="N22" s="277"/>
      <c r="O22" s="277"/>
      <c r="P22" s="277"/>
      <c r="Q22" s="277"/>
      <c r="R22" s="277"/>
      <c r="S22" s="278"/>
      <c r="T22" s="277"/>
      <c r="U22" s="277"/>
      <c r="V22" s="277"/>
      <c r="W22" s="277"/>
      <c r="X22" s="277"/>
      <c r="Y22" s="277">
        <f>SUM(T22:X22)</f>
        <v>0</v>
      </c>
      <c r="Z22" s="279"/>
      <c r="AA22" s="280"/>
      <c r="AB22" s="281"/>
      <c r="AC22" s="282"/>
    </row>
    <row r="23" spans="1:29" ht="75" customHeight="1" x14ac:dyDescent="0.2">
      <c r="C23" s="273">
        <v>6</v>
      </c>
      <c r="D23" s="273"/>
      <c r="E23" s="273"/>
      <c r="F23" s="274"/>
      <c r="G23" s="274"/>
      <c r="H23" s="275"/>
      <c r="I23" s="275"/>
      <c r="J23" s="275"/>
      <c r="K23" s="276"/>
      <c r="L23" s="277"/>
      <c r="M23" s="277"/>
      <c r="N23" s="283"/>
      <c r="O23" s="283"/>
      <c r="P23" s="283"/>
      <c r="Q23" s="283"/>
      <c r="R23" s="283"/>
      <c r="S23" s="278"/>
      <c r="T23" s="283"/>
      <c r="U23" s="283"/>
      <c r="V23" s="283"/>
      <c r="W23" s="283"/>
      <c r="X23" s="283"/>
      <c r="Y23" s="277">
        <f t="shared" ref="Y23:Y25" si="2">SUM(T23:X23)</f>
        <v>0</v>
      </c>
      <c r="Z23" s="279"/>
      <c r="AA23" s="280"/>
      <c r="AB23" s="281"/>
      <c r="AC23" s="282"/>
    </row>
    <row r="24" spans="1:29" ht="75" customHeight="1" x14ac:dyDescent="0.2">
      <c r="C24" s="273">
        <v>7</v>
      </c>
      <c r="D24" s="273"/>
      <c r="E24" s="273"/>
      <c r="F24" s="274"/>
      <c r="G24" s="274"/>
      <c r="H24" s="275"/>
      <c r="I24" s="275"/>
      <c r="J24" s="275"/>
      <c r="K24" s="276"/>
      <c r="L24" s="277"/>
      <c r="M24" s="277"/>
      <c r="N24" s="283"/>
      <c r="O24" s="283"/>
      <c r="P24" s="283"/>
      <c r="Q24" s="283"/>
      <c r="R24" s="283"/>
      <c r="S24" s="278"/>
      <c r="T24" s="283"/>
      <c r="U24" s="283"/>
      <c r="V24" s="283"/>
      <c r="W24" s="283"/>
      <c r="X24" s="283"/>
      <c r="Y24" s="277">
        <f t="shared" si="2"/>
        <v>0</v>
      </c>
      <c r="Z24" s="279"/>
      <c r="AA24" s="280"/>
      <c r="AB24" s="281"/>
      <c r="AC24" s="282"/>
    </row>
    <row r="25" spans="1:29" ht="75" customHeight="1" thickBot="1" x14ac:dyDescent="0.25">
      <c r="C25" s="273">
        <v>8</v>
      </c>
      <c r="D25" s="273"/>
      <c r="E25" s="273"/>
      <c r="F25" s="274"/>
      <c r="G25" s="274"/>
      <c r="H25" s="276"/>
      <c r="I25" s="276"/>
      <c r="J25" s="275"/>
      <c r="K25" s="276"/>
      <c r="L25" s="277"/>
      <c r="M25" s="277"/>
      <c r="N25" s="283"/>
      <c r="O25" s="283"/>
      <c r="P25" s="283"/>
      <c r="Q25" s="283"/>
      <c r="R25" s="283"/>
      <c r="S25" s="278"/>
      <c r="T25" s="283"/>
      <c r="U25" s="283"/>
      <c r="V25" s="283"/>
      <c r="W25" s="283"/>
      <c r="X25" s="283"/>
      <c r="Y25" s="277">
        <f t="shared" si="2"/>
        <v>0</v>
      </c>
      <c r="Z25" s="279"/>
      <c r="AA25" s="280"/>
      <c r="AB25" s="281"/>
      <c r="AC25" s="282"/>
    </row>
    <row r="26" spans="1:29" ht="56.25" customHeight="1" thickBot="1" x14ac:dyDescent="0.25">
      <c r="A26" s="32"/>
      <c r="B26" s="32"/>
      <c r="C26" s="295"/>
      <c r="D26" s="295"/>
      <c r="E26" s="295"/>
      <c r="F26" s="295"/>
      <c r="G26" s="295"/>
      <c r="H26" s="295"/>
      <c r="I26" s="295"/>
      <c r="J26" s="296"/>
      <c r="K26" s="297"/>
      <c r="L26" s="298" t="s">
        <v>62</v>
      </c>
      <c r="N26" s="287">
        <f>SUM(N22:N25)</f>
        <v>0</v>
      </c>
      <c r="O26" s="287">
        <f>SUM(O22:O25)</f>
        <v>0</v>
      </c>
      <c r="P26" s="287">
        <f>SUM(P22:P25)</f>
        <v>0</v>
      </c>
      <c r="Q26" s="287">
        <f>SUM(Q22:Q25)</f>
        <v>0</v>
      </c>
      <c r="R26" s="287">
        <f>SUM(R22:R25)</f>
        <v>0</v>
      </c>
      <c r="S26" s="288"/>
      <c r="T26" s="287">
        <f>SUM(T22:T25)</f>
        <v>0</v>
      </c>
      <c r="U26" s="287">
        <f t="shared" ref="U26" si="3">SUM(U22:U25)</f>
        <v>0</v>
      </c>
      <c r="V26" s="287">
        <f t="shared" ref="V26" si="4">SUM(V22:V25)</f>
        <v>0</v>
      </c>
      <c r="W26" s="287">
        <f t="shared" ref="W26:X26" si="5">SUM(W22:W25)</f>
        <v>0</v>
      </c>
      <c r="X26" s="287">
        <f t="shared" si="5"/>
        <v>0</v>
      </c>
      <c r="Y26" s="287">
        <f t="shared" ref="Y26" si="6">SUM(Y22:Y25)</f>
        <v>0</v>
      </c>
      <c r="Z26" s="299"/>
      <c r="AA26" s="300"/>
      <c r="AB26" s="301"/>
      <c r="AC26" s="302"/>
    </row>
    <row r="27" spans="1:29" s="19" customFormat="1" ht="48" customHeight="1" x14ac:dyDescent="0.2">
      <c r="C27" s="31"/>
      <c r="D27" s="31"/>
      <c r="E27" s="272" t="s">
        <v>27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4"/>
      <c r="U27" s="294"/>
      <c r="V27" s="294"/>
      <c r="W27" s="294"/>
      <c r="X27" s="294"/>
      <c r="Y27" s="294"/>
      <c r="Z27" s="31"/>
      <c r="AA27" s="31"/>
      <c r="AB27" s="31"/>
      <c r="AC27" s="31"/>
    </row>
    <row r="28" spans="1:29" ht="75" customHeight="1" x14ac:dyDescent="0.2">
      <c r="C28" s="273">
        <v>9</v>
      </c>
      <c r="D28" s="273"/>
      <c r="E28" s="273"/>
      <c r="F28" s="274"/>
      <c r="G28" s="274"/>
      <c r="H28" s="275"/>
      <c r="I28" s="275"/>
      <c r="J28" s="275"/>
      <c r="K28" s="276"/>
      <c r="L28" s="277"/>
      <c r="M28" s="277"/>
      <c r="N28" s="277"/>
      <c r="O28" s="277"/>
      <c r="P28" s="277"/>
      <c r="Q28" s="277"/>
      <c r="R28" s="277"/>
      <c r="S28" s="278"/>
      <c r="T28" s="277"/>
      <c r="U28" s="277"/>
      <c r="V28" s="277"/>
      <c r="W28" s="277"/>
      <c r="X28" s="277"/>
      <c r="Y28" s="277">
        <f>SUM(T28:X28)</f>
        <v>0</v>
      </c>
      <c r="Z28" s="279"/>
      <c r="AA28" s="280"/>
      <c r="AB28" s="281"/>
      <c r="AC28" s="282"/>
    </row>
    <row r="29" spans="1:29" ht="75" customHeight="1" x14ac:dyDescent="0.2">
      <c r="C29" s="273">
        <v>10</v>
      </c>
      <c r="D29" s="273"/>
      <c r="E29" s="273"/>
      <c r="F29" s="274"/>
      <c r="G29" s="274"/>
      <c r="H29" s="275"/>
      <c r="I29" s="275"/>
      <c r="J29" s="275"/>
      <c r="K29" s="276"/>
      <c r="L29" s="277"/>
      <c r="M29" s="277"/>
      <c r="N29" s="283"/>
      <c r="O29" s="283"/>
      <c r="P29" s="283"/>
      <c r="Q29" s="283"/>
      <c r="R29" s="283"/>
      <c r="S29" s="278"/>
      <c r="T29" s="283"/>
      <c r="U29" s="283"/>
      <c r="V29" s="283"/>
      <c r="W29" s="283"/>
      <c r="X29" s="283"/>
      <c r="Y29" s="277">
        <f t="shared" ref="Y29:Y31" si="7">SUM(T29:X29)</f>
        <v>0</v>
      </c>
      <c r="Z29" s="279"/>
      <c r="AA29" s="280"/>
      <c r="AB29" s="281"/>
      <c r="AC29" s="282"/>
    </row>
    <row r="30" spans="1:29" ht="75" customHeight="1" x14ac:dyDescent="0.2">
      <c r="C30" s="273">
        <v>11</v>
      </c>
      <c r="D30" s="273"/>
      <c r="E30" s="273"/>
      <c r="F30" s="274"/>
      <c r="G30" s="274"/>
      <c r="H30" s="275"/>
      <c r="I30" s="275"/>
      <c r="J30" s="275"/>
      <c r="K30" s="276"/>
      <c r="L30" s="277"/>
      <c r="M30" s="277"/>
      <c r="N30" s="283"/>
      <c r="O30" s="283"/>
      <c r="P30" s="283"/>
      <c r="Q30" s="283"/>
      <c r="R30" s="283"/>
      <c r="S30" s="278"/>
      <c r="T30" s="283"/>
      <c r="U30" s="283"/>
      <c r="V30" s="283"/>
      <c r="W30" s="283"/>
      <c r="X30" s="283"/>
      <c r="Y30" s="277">
        <f t="shared" si="7"/>
        <v>0</v>
      </c>
      <c r="Z30" s="279"/>
      <c r="AA30" s="280"/>
      <c r="AB30" s="281"/>
      <c r="AC30" s="282"/>
    </row>
    <row r="31" spans="1:29" ht="75" customHeight="1" thickBot="1" x14ac:dyDescent="0.25">
      <c r="C31" s="273">
        <v>12</v>
      </c>
      <c r="D31" s="273"/>
      <c r="E31" s="273"/>
      <c r="F31" s="274"/>
      <c r="G31" s="274"/>
      <c r="H31" s="276"/>
      <c r="I31" s="276"/>
      <c r="J31" s="275"/>
      <c r="K31" s="276"/>
      <c r="L31" s="277"/>
      <c r="M31" s="277"/>
      <c r="N31" s="283"/>
      <c r="O31" s="283"/>
      <c r="P31" s="283"/>
      <c r="Q31" s="283"/>
      <c r="R31" s="283"/>
      <c r="S31" s="278"/>
      <c r="T31" s="283"/>
      <c r="U31" s="283"/>
      <c r="V31" s="283"/>
      <c r="W31" s="283"/>
      <c r="X31" s="283"/>
      <c r="Y31" s="277">
        <f t="shared" si="7"/>
        <v>0</v>
      </c>
      <c r="Z31" s="279"/>
      <c r="AA31" s="280"/>
      <c r="AB31" s="281"/>
      <c r="AC31" s="282"/>
    </row>
    <row r="32" spans="1:29" ht="56.25" customHeight="1" thickBot="1" x14ac:dyDescent="0.25">
      <c r="A32" s="32"/>
      <c r="B32" s="32"/>
      <c r="C32" s="32"/>
      <c r="D32" s="32"/>
      <c r="E32" s="32"/>
      <c r="F32" s="32"/>
      <c r="G32" s="32"/>
      <c r="H32" s="32"/>
      <c r="J32" s="284"/>
      <c r="K32" s="285"/>
      <c r="L32" s="286" t="s">
        <v>63</v>
      </c>
      <c r="N32" s="287">
        <f>SUM(N28:N31)</f>
        <v>0</v>
      </c>
      <c r="O32" s="287">
        <f>SUM(O28:O31)</f>
        <v>0</v>
      </c>
      <c r="P32" s="287">
        <f>SUM(P28:P31)</f>
        <v>0</v>
      </c>
      <c r="Q32" s="287">
        <f>SUM(Q28:Q31)</f>
        <v>0</v>
      </c>
      <c r="R32" s="287">
        <f>SUM(R28:R31)</f>
        <v>0</v>
      </c>
      <c r="S32" s="288"/>
      <c r="T32" s="287">
        <f>SUM(T28:T31)</f>
        <v>0</v>
      </c>
      <c r="U32" s="287">
        <f>SUM(U28:U31)</f>
        <v>0</v>
      </c>
      <c r="V32" s="287">
        <f t="shared" ref="V32" si="8">SUM(V28:V31)</f>
        <v>0</v>
      </c>
      <c r="W32" s="287">
        <f t="shared" ref="W32:X32" si="9">SUM(W28:W31)</f>
        <v>0</v>
      </c>
      <c r="X32" s="287">
        <f t="shared" si="9"/>
        <v>0</v>
      </c>
      <c r="Y32" s="287">
        <f t="shared" ref="Y32" si="10">SUM(Y28:Y31)</f>
        <v>0</v>
      </c>
      <c r="Z32" s="289"/>
      <c r="AA32" s="290"/>
      <c r="AB32" s="291"/>
      <c r="AC32" s="292"/>
    </row>
    <row r="33" spans="3:29" s="19" customFormat="1" ht="15.75" x14ac:dyDescent="0.2">
      <c r="C33" s="31"/>
      <c r="D33" s="31"/>
      <c r="E33" s="303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294"/>
      <c r="U33" s="294"/>
      <c r="V33" s="294"/>
      <c r="W33" s="294"/>
      <c r="X33" s="294"/>
      <c r="Y33" s="294"/>
      <c r="Z33" s="31"/>
      <c r="AA33" s="31"/>
      <c r="AB33" s="31"/>
      <c r="AC33" s="31"/>
    </row>
    <row r="34" spans="3:29" s="33" customFormat="1" ht="60" customHeight="1" x14ac:dyDescent="0.25">
      <c r="C34" s="273">
        <v>13</v>
      </c>
      <c r="D34" s="273"/>
      <c r="E34" s="273"/>
      <c r="F34" s="274"/>
      <c r="G34" s="274"/>
      <c r="H34" s="274"/>
      <c r="I34" s="304" t="s">
        <v>24</v>
      </c>
      <c r="J34" s="275"/>
      <c r="K34" s="276"/>
      <c r="L34" s="276" t="s">
        <v>162</v>
      </c>
      <c r="M34" s="277"/>
      <c r="N34" s="305"/>
      <c r="O34" s="305"/>
      <c r="P34" s="305"/>
      <c r="Q34" s="305"/>
      <c r="R34" s="305"/>
      <c r="S34" s="278"/>
      <c r="T34" s="306"/>
      <c r="U34" s="306"/>
      <c r="V34" s="306"/>
      <c r="W34" s="306"/>
      <c r="X34" s="306"/>
      <c r="Y34" s="277">
        <f>SUM(T34:X34)</f>
        <v>0</v>
      </c>
      <c r="Z34" s="279"/>
      <c r="AA34" s="280"/>
      <c r="AB34" s="273"/>
      <c r="AC34" s="282"/>
    </row>
    <row r="35" spans="3:29" s="33" customFormat="1" ht="60" customHeight="1" x14ac:dyDescent="0.25">
      <c r="C35" s="273">
        <v>14</v>
      </c>
      <c r="D35" s="273"/>
      <c r="E35" s="273"/>
      <c r="F35" s="274"/>
      <c r="G35" s="274"/>
      <c r="H35" s="274"/>
      <c r="I35" s="304" t="s">
        <v>25</v>
      </c>
      <c r="J35" s="275"/>
      <c r="K35" s="276"/>
      <c r="L35" s="276" t="s">
        <v>103</v>
      </c>
      <c r="M35" s="277"/>
      <c r="N35" s="305"/>
      <c r="O35" s="305"/>
      <c r="P35" s="305"/>
      <c r="Q35" s="305"/>
      <c r="R35" s="305"/>
      <c r="S35" s="278"/>
      <c r="T35" s="306"/>
      <c r="U35" s="306"/>
      <c r="V35" s="306"/>
      <c r="W35" s="306"/>
      <c r="X35" s="306"/>
      <c r="Y35" s="277">
        <f>SUM(T35:X35)</f>
        <v>0</v>
      </c>
      <c r="Z35" s="279"/>
      <c r="AA35" s="280"/>
      <c r="AB35" s="273"/>
      <c r="AC35" s="282"/>
    </row>
    <row r="36" spans="3:29" ht="60" customHeight="1" x14ac:dyDescent="0.2">
      <c r="C36" s="307">
        <v>15</v>
      </c>
      <c r="D36" s="307"/>
      <c r="E36" s="307"/>
      <c r="F36" s="308"/>
      <c r="G36" s="308"/>
      <c r="H36" s="308"/>
      <c r="I36" s="309" t="s">
        <v>58</v>
      </c>
      <c r="J36" s="275"/>
      <c r="K36" s="276"/>
      <c r="L36" s="310"/>
      <c r="M36" s="310"/>
      <c r="N36" s="311"/>
      <c r="O36" s="311"/>
      <c r="P36" s="311"/>
      <c r="Q36" s="311"/>
      <c r="R36" s="311"/>
      <c r="S36" s="312"/>
      <c r="T36" s="313"/>
      <c r="U36" s="313"/>
      <c r="V36" s="313"/>
      <c r="W36" s="313"/>
      <c r="X36" s="313"/>
      <c r="Y36" s="277">
        <f>SUM(T36:X36)</f>
        <v>0</v>
      </c>
      <c r="Z36" s="279"/>
      <c r="AA36" s="280"/>
      <c r="AB36" s="307"/>
      <c r="AC36" s="314"/>
    </row>
    <row r="37" spans="3:29" ht="23.25" customHeight="1" x14ac:dyDescent="0.2">
      <c r="C37" s="315"/>
      <c r="D37" s="315"/>
      <c r="E37" s="315"/>
      <c r="F37" s="316"/>
      <c r="G37" s="316"/>
      <c r="H37" s="316"/>
      <c r="I37" s="317"/>
      <c r="J37" s="317"/>
      <c r="K37" s="317"/>
      <c r="L37" s="317"/>
      <c r="M37" s="317"/>
      <c r="N37" s="318">
        <f>N20+N26+N32</f>
        <v>0</v>
      </c>
      <c r="O37" s="318">
        <f t="shared" ref="O37:R37" si="11">SUM(O34:O36)+O20+O26+O32</f>
        <v>0</v>
      </c>
      <c r="P37" s="318">
        <f t="shared" si="11"/>
        <v>0</v>
      </c>
      <c r="Q37" s="318">
        <f t="shared" si="11"/>
        <v>0</v>
      </c>
      <c r="R37" s="318">
        <f t="shared" si="11"/>
        <v>0</v>
      </c>
      <c r="S37" s="319"/>
      <c r="T37" s="318">
        <f>SUM(T34:T36)+T20+T26+T32</f>
        <v>0</v>
      </c>
      <c r="U37" s="318">
        <f t="shared" ref="U37:Y37" si="12">SUM(U34:U36)+U20+U26+U32</f>
        <v>0</v>
      </c>
      <c r="V37" s="318">
        <f t="shared" si="12"/>
        <v>0</v>
      </c>
      <c r="W37" s="318">
        <f t="shared" si="12"/>
        <v>0</v>
      </c>
      <c r="X37" s="318">
        <f t="shared" si="12"/>
        <v>0</v>
      </c>
      <c r="Y37" s="318">
        <f t="shared" si="12"/>
        <v>0</v>
      </c>
      <c r="Z37" s="320"/>
      <c r="AA37" s="321"/>
      <c r="AB37" s="315"/>
      <c r="AC37" s="321"/>
    </row>
    <row r="38" spans="3:29" s="27" customFormat="1" ht="21" customHeight="1" x14ac:dyDescent="0.2">
      <c r="C38" s="34"/>
      <c r="D38" s="34"/>
      <c r="E38" s="34"/>
      <c r="F38" s="35"/>
      <c r="G38" s="35"/>
      <c r="H38" s="35"/>
      <c r="I38" s="36"/>
      <c r="J38" s="36"/>
      <c r="K38" s="36"/>
      <c r="L38" s="37"/>
      <c r="M38" s="37"/>
      <c r="N38" s="37"/>
      <c r="O38" s="37"/>
      <c r="P38" s="37"/>
      <c r="Q38" s="37"/>
      <c r="R38" s="37"/>
      <c r="S38" s="37"/>
      <c r="T38" s="38"/>
      <c r="U38" s="38"/>
      <c r="V38" s="38"/>
      <c r="W38" s="38"/>
      <c r="X38" s="38"/>
      <c r="Y38" s="38"/>
      <c r="Z38" s="39"/>
      <c r="AA38" s="40"/>
      <c r="AB38" s="34"/>
      <c r="AC38" s="40"/>
    </row>
    <row r="39" spans="3:29" s="15" customFormat="1" ht="20.25" x14ac:dyDescent="0.3">
      <c r="E39" s="322" t="s">
        <v>83</v>
      </c>
      <c r="F39" s="323" t="s">
        <v>59</v>
      </c>
      <c r="G39" s="324"/>
      <c r="H39" s="325"/>
      <c r="I39" s="325"/>
      <c r="J39" s="325"/>
      <c r="K39" s="326" t="s">
        <v>56</v>
      </c>
      <c r="L39" s="327"/>
      <c r="M39" s="327"/>
      <c r="N39" s="328"/>
      <c r="O39" s="329" t="s">
        <v>57</v>
      </c>
      <c r="P39" s="43"/>
      <c r="Q39" s="43"/>
      <c r="R39" s="43"/>
      <c r="S39" s="330"/>
      <c r="T39" s="43"/>
      <c r="V39" s="331"/>
      <c r="W39" s="331"/>
      <c r="X39" s="331"/>
      <c r="Y39" s="332"/>
      <c r="Z39" s="332"/>
      <c r="AA39" s="48"/>
      <c r="AB39" s="48"/>
      <c r="AC39" s="48"/>
    </row>
    <row r="40" spans="3:29" s="15" customFormat="1" ht="20.25" x14ac:dyDescent="0.3">
      <c r="E40" s="43"/>
      <c r="F40" s="323" t="s">
        <v>36</v>
      </c>
      <c r="G40" s="324"/>
      <c r="H40" s="324"/>
      <c r="I40" s="324"/>
      <c r="J40" s="404" t="s">
        <v>85</v>
      </c>
      <c r="K40" s="404"/>
      <c r="L40" s="404"/>
      <c r="M40" s="404"/>
      <c r="N40" s="43"/>
      <c r="O40" s="333" t="s">
        <v>37</v>
      </c>
      <c r="P40" s="329" t="s">
        <v>43</v>
      </c>
      <c r="Q40" s="43"/>
      <c r="R40" s="43"/>
      <c r="S40" s="330"/>
      <c r="T40" s="43"/>
      <c r="U40" s="334"/>
      <c r="V40" s="335"/>
      <c r="W40" s="331"/>
      <c r="X40" s="331"/>
      <c r="Y40" s="332"/>
      <c r="Z40" s="332"/>
      <c r="AA40" s="48"/>
      <c r="AB40" s="48"/>
      <c r="AC40" s="48"/>
    </row>
    <row r="41" spans="3:29" s="15" customFormat="1" ht="20.25" x14ac:dyDescent="0.3">
      <c r="E41" s="43"/>
      <c r="F41" s="323" t="s">
        <v>39</v>
      </c>
      <c r="G41" s="324"/>
      <c r="H41" s="324"/>
      <c r="I41" s="324"/>
      <c r="J41" s="405" t="s">
        <v>86</v>
      </c>
      <c r="K41" s="405"/>
      <c r="L41" s="405"/>
      <c r="M41" s="405"/>
      <c r="N41" s="43"/>
      <c r="O41" s="333" t="s">
        <v>38</v>
      </c>
      <c r="P41" s="329" t="s">
        <v>44</v>
      </c>
      <c r="Q41" s="43"/>
      <c r="R41" s="43"/>
      <c r="S41" s="330"/>
      <c r="T41" s="43"/>
      <c r="U41" s="334"/>
      <c r="V41" s="335"/>
      <c r="W41" s="331"/>
      <c r="X41" s="331"/>
      <c r="Y41" s="332"/>
      <c r="Z41" s="332"/>
      <c r="AA41" s="48"/>
      <c r="AB41" s="48"/>
      <c r="AC41" s="48"/>
    </row>
    <row r="42" spans="3:29" s="15" customFormat="1" ht="20.25" x14ac:dyDescent="0.3">
      <c r="E42" s="43"/>
      <c r="F42" s="323" t="s">
        <v>171</v>
      </c>
      <c r="G42" s="324"/>
      <c r="H42" s="324"/>
      <c r="I42" s="324"/>
      <c r="J42" s="404" t="s">
        <v>170</v>
      </c>
      <c r="K42" s="404"/>
      <c r="L42" s="404"/>
      <c r="M42" s="404"/>
      <c r="N42" s="43"/>
      <c r="O42" s="333" t="s">
        <v>40</v>
      </c>
      <c r="P42" s="329" t="s">
        <v>45</v>
      </c>
      <c r="Q42" s="43"/>
      <c r="R42" s="43"/>
      <c r="S42" s="330"/>
      <c r="T42" s="43"/>
      <c r="U42" s="334"/>
      <c r="V42" s="334"/>
    </row>
    <row r="43" spans="3:29" s="15" customFormat="1" ht="20.25" x14ac:dyDescent="0.3">
      <c r="E43" s="43"/>
      <c r="F43" s="324"/>
      <c r="G43" s="324"/>
      <c r="H43" s="324"/>
      <c r="I43" s="324"/>
      <c r="J43" s="336"/>
      <c r="K43" s="336"/>
      <c r="L43" s="333"/>
      <c r="M43" s="337"/>
      <c r="N43" s="43"/>
      <c r="O43" s="333" t="s">
        <v>41</v>
      </c>
      <c r="P43" s="329" t="s">
        <v>46</v>
      </c>
      <c r="Q43" s="43"/>
      <c r="R43" s="43"/>
      <c r="S43" s="330"/>
      <c r="T43" s="43"/>
      <c r="U43" s="334"/>
      <c r="V43" s="334"/>
    </row>
    <row r="44" spans="3:29" s="15" customFormat="1" ht="20.25" x14ac:dyDescent="0.3">
      <c r="E44" s="43"/>
      <c r="G44" s="324"/>
      <c r="H44" s="324"/>
      <c r="I44" s="324"/>
      <c r="J44" s="338"/>
      <c r="K44" s="338"/>
      <c r="L44" s="333"/>
      <c r="M44" s="337"/>
      <c r="N44" s="43"/>
      <c r="O44" s="333"/>
      <c r="P44" s="329"/>
      <c r="Q44" s="43"/>
      <c r="R44" s="43"/>
      <c r="S44" s="330"/>
      <c r="T44" s="43"/>
      <c r="U44" s="334"/>
      <c r="V44" s="334"/>
    </row>
    <row r="45" spans="3:29" s="15" customFormat="1" ht="20.25" x14ac:dyDescent="0.3">
      <c r="E45" s="43"/>
      <c r="F45" s="327" t="s">
        <v>84</v>
      </c>
      <c r="G45" s="324"/>
      <c r="H45" s="324"/>
      <c r="I45" s="324"/>
      <c r="J45" s="43"/>
      <c r="K45" s="43"/>
      <c r="L45" s="333"/>
      <c r="M45" s="337"/>
      <c r="N45" s="43"/>
      <c r="O45" s="43"/>
      <c r="P45" s="339"/>
      <c r="Q45" s="43"/>
      <c r="R45" s="43"/>
      <c r="S45" s="330"/>
      <c r="T45" s="43"/>
      <c r="U45" s="334"/>
      <c r="V45" s="334"/>
    </row>
    <row r="46" spans="3:29" s="15" customFormat="1" ht="15.75" x14ac:dyDescent="0.25">
      <c r="L46" s="340"/>
      <c r="M46" s="341"/>
      <c r="S46" s="342"/>
    </row>
    <row r="47" spans="3:29" s="15" customFormat="1" x14ac:dyDescent="0.2">
      <c r="S47" s="342"/>
    </row>
    <row r="48" spans="3:29" s="43" customFormat="1" ht="20.25" x14ac:dyDescent="0.3">
      <c r="F48" s="394" t="s">
        <v>52</v>
      </c>
      <c r="G48" s="394"/>
      <c r="H48" s="394"/>
      <c r="I48" s="343"/>
      <c r="J48" s="343"/>
      <c r="K48" s="343"/>
      <c r="L48" s="400" t="s">
        <v>49</v>
      </c>
      <c r="M48" s="400"/>
      <c r="N48" s="400"/>
      <c r="O48" s="400"/>
      <c r="P48" s="400"/>
      <c r="Q48" s="400"/>
      <c r="S48" s="330"/>
      <c r="W48" s="401" t="s">
        <v>50</v>
      </c>
      <c r="X48" s="401"/>
      <c r="Y48" s="401"/>
      <c r="Z48" s="401"/>
      <c r="AA48" s="401"/>
    </row>
    <row r="49" spans="6:27" s="43" customFormat="1" ht="20.25" x14ac:dyDescent="0.3">
      <c r="F49" s="329" t="s">
        <v>53</v>
      </c>
      <c r="G49" s="329"/>
      <c r="H49" s="329"/>
      <c r="I49" s="344"/>
      <c r="K49" s="399" t="s">
        <v>51</v>
      </c>
      <c r="L49" s="399"/>
      <c r="M49" s="399"/>
      <c r="N49" s="399"/>
      <c r="O49" s="399"/>
      <c r="P49" s="399"/>
      <c r="Q49" s="399"/>
      <c r="R49" s="399"/>
      <c r="S49" s="330"/>
    </row>
    <row r="50" spans="6:27" s="43" customFormat="1" ht="20.25" x14ac:dyDescent="0.3">
      <c r="F50" s="394" t="s">
        <v>54</v>
      </c>
      <c r="G50" s="394"/>
      <c r="H50" s="394"/>
      <c r="I50" s="345"/>
      <c r="L50" s="346"/>
      <c r="M50" s="346"/>
      <c r="N50" s="347"/>
      <c r="O50" s="348"/>
      <c r="P50" s="346"/>
      <c r="Q50" s="346"/>
      <c r="S50" s="330"/>
    </row>
    <row r="51" spans="6:27" s="43" customFormat="1" ht="20.25" x14ac:dyDescent="0.3">
      <c r="F51" s="328"/>
      <c r="G51" s="327"/>
      <c r="H51" s="327"/>
      <c r="I51" s="344"/>
      <c r="L51" s="346"/>
      <c r="M51" s="346"/>
      <c r="N51" s="347"/>
      <c r="O51" s="348"/>
      <c r="P51" s="346"/>
      <c r="Q51" s="346"/>
      <c r="S51" s="330"/>
      <c r="Y51" s="348"/>
      <c r="Z51" s="348"/>
      <c r="AA51" s="346"/>
    </row>
    <row r="52" spans="6:27" s="43" customFormat="1" ht="20.25" x14ac:dyDescent="0.3">
      <c r="F52" s="349"/>
      <c r="G52" s="349"/>
      <c r="H52" s="349"/>
      <c r="I52" s="330"/>
      <c r="L52" s="350"/>
      <c r="M52" s="350"/>
      <c r="N52" s="351"/>
      <c r="O52" s="352"/>
      <c r="P52" s="353"/>
      <c r="Q52" s="353"/>
      <c r="S52" s="330"/>
      <c r="W52" s="352"/>
      <c r="X52" s="352"/>
      <c r="Y52" s="352"/>
      <c r="Z52" s="354"/>
      <c r="AA52" s="354"/>
    </row>
    <row r="53" spans="6:27" s="43" customFormat="1" ht="20.25" x14ac:dyDescent="0.3">
      <c r="F53" s="403" t="s">
        <v>55</v>
      </c>
      <c r="G53" s="403"/>
      <c r="H53" s="403"/>
      <c r="I53" s="330"/>
      <c r="L53" s="395" t="s">
        <v>55</v>
      </c>
      <c r="M53" s="395"/>
      <c r="N53" s="395"/>
      <c r="O53" s="395"/>
      <c r="P53" s="395"/>
      <c r="Q53" s="395"/>
      <c r="S53" s="330"/>
      <c r="W53" s="396" t="s">
        <v>55</v>
      </c>
      <c r="X53" s="396"/>
      <c r="Y53" s="396"/>
      <c r="Z53" s="396"/>
      <c r="AA53" s="396"/>
    </row>
  </sheetData>
  <mergeCells count="30">
    <mergeCell ref="AB12:AB14"/>
    <mergeCell ref="AC12:AC14"/>
    <mergeCell ref="J12:J14"/>
    <mergeCell ref="I12:I14"/>
    <mergeCell ref="C12:C14"/>
    <mergeCell ref="E12:G13"/>
    <mergeCell ref="Z12:Z14"/>
    <mergeCell ref="T12:Y13"/>
    <mergeCell ref="N12:R13"/>
    <mergeCell ref="L12:M13"/>
    <mergeCell ref="D12:D14"/>
    <mergeCell ref="I8:AB8"/>
    <mergeCell ref="F3:AC3"/>
    <mergeCell ref="F4:AC4"/>
    <mergeCell ref="F5:AC5"/>
    <mergeCell ref="F7:AC7"/>
    <mergeCell ref="F50:H50"/>
    <mergeCell ref="L53:Q53"/>
    <mergeCell ref="W53:AA53"/>
    <mergeCell ref="K12:K13"/>
    <mergeCell ref="K49:R49"/>
    <mergeCell ref="F48:H48"/>
    <mergeCell ref="L48:Q48"/>
    <mergeCell ref="W48:AA48"/>
    <mergeCell ref="H12:H14"/>
    <mergeCell ref="AA12:AA14"/>
    <mergeCell ref="F53:H53"/>
    <mergeCell ref="J40:M40"/>
    <mergeCell ref="J41:M41"/>
    <mergeCell ref="J42:M42"/>
  </mergeCells>
  <printOptions horizontalCentered="1"/>
  <pageMargins left="0.19685039370078741" right="0.19685039370078741" top="0.39370078740157483" bottom="0.19685039370078741" header="0" footer="0"/>
  <pageSetup scale="2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>
          <x14:formula1>
            <xm:f>Catalogos2024!$A$5:$A$7</xm:f>
          </x14:formula1>
          <xm:sqref>J16:J19 J34:J36</xm:sqref>
        </x14:dataValidation>
        <x14:dataValidation type="list" allowBlank="1" showInputMessage="1" showErrorMessage="1">
          <x14:formula1>
            <xm:f>INDIRECT(VLOOKUP(J16,Catalogos2024!$A$5:$B$7,2,0))</xm:f>
          </x14:formula1>
          <xm:sqref>K16:K19</xm:sqref>
        </x14:dataValidation>
        <x14:dataValidation type="list" allowBlank="1" showInputMessage="1" showErrorMessage="1">
          <x14:formula1>
            <xm:f>Catalogos2024!$A$11:$A$12</xm:f>
          </x14:formula1>
          <xm:sqref>J22:J25</xm:sqref>
        </x14:dataValidation>
        <x14:dataValidation type="list" allowBlank="1" showInputMessage="1" showErrorMessage="1">
          <x14:formula1>
            <xm:f>INDIRECT(VLOOKUP(J22,Catalogos2024!$A$11:$B$12,2,0))</xm:f>
          </x14:formula1>
          <xm:sqref>K22:K25</xm:sqref>
        </x14:dataValidation>
        <x14:dataValidation type="list" allowBlank="1" showInputMessage="1" showErrorMessage="1">
          <x14:formula1>
            <xm:f>Catalogos2024!$A$17:$A$18</xm:f>
          </x14:formula1>
          <xm:sqref>J28:J31</xm:sqref>
        </x14:dataValidation>
        <x14:dataValidation type="list" allowBlank="1" showInputMessage="1" showErrorMessage="1">
          <x14:formula1>
            <xm:f>INDIRECT(VLOOKUP(J28,Catalogos2024!$A$17:$B$18,2,0))</xm:f>
          </x14:formula1>
          <xm:sqref>K28:K31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4"/>
  <sheetViews>
    <sheetView showGridLines="0" showRuler="0" topLeftCell="J1" zoomScale="70" zoomScaleNormal="70" zoomScaleSheetLayoutView="25" zoomScalePageLayoutView="30" workbookViewId="0">
      <selection activeCell="F7" sqref="F7:AC7"/>
    </sheetView>
  </sheetViews>
  <sheetFormatPr baseColWidth="10" defaultRowHeight="15" x14ac:dyDescent="0.2"/>
  <cols>
    <col min="1" max="2" width="1.625" style="14" customWidth="1"/>
    <col min="3" max="3" width="6.375" style="17" customWidth="1"/>
    <col min="4" max="4" width="19.125" style="17" customWidth="1"/>
    <col min="5" max="5" width="20.5" style="14" customWidth="1"/>
    <col min="6" max="7" width="24.5" style="18" customWidth="1"/>
    <col min="8" max="8" width="16" style="18" customWidth="1"/>
    <col min="9" max="9" width="113.5" style="14" customWidth="1"/>
    <col min="10" max="10" width="15.125" style="14" customWidth="1"/>
    <col min="11" max="11" width="16.75" style="14" customWidth="1"/>
    <col min="12" max="12" width="11.875" style="14" customWidth="1"/>
    <col min="13" max="13" width="13.625" style="14" customWidth="1"/>
    <col min="14" max="15" width="9.625" style="14" customWidth="1"/>
    <col min="16" max="17" width="11.125" style="14" customWidth="1"/>
    <col min="18" max="18" width="17.25" style="14" customWidth="1"/>
    <col min="19" max="19" width="2.75" style="19" customWidth="1"/>
    <col min="20" max="25" width="15.875" style="14" customWidth="1"/>
    <col min="26" max="26" width="13.625" style="14" customWidth="1"/>
    <col min="27" max="27" width="16.75" style="14" customWidth="1"/>
    <col min="28" max="28" width="14.375" style="14" customWidth="1"/>
    <col min="29" max="29" width="13.375" style="14" customWidth="1"/>
    <col min="30" max="30" width="5" style="14" customWidth="1"/>
    <col min="31" max="16384" width="11" style="14"/>
  </cols>
  <sheetData>
    <row r="1" spans="3:29" ht="10.5" customHeight="1" x14ac:dyDescent="0.35">
      <c r="C1" s="166"/>
      <c r="D1" s="166"/>
      <c r="E1" s="78"/>
      <c r="F1" s="164"/>
      <c r="G1" s="164"/>
      <c r="H1" s="164"/>
      <c r="I1" s="78"/>
      <c r="J1" s="78"/>
      <c r="K1" s="78"/>
      <c r="L1" s="78"/>
      <c r="M1" s="78"/>
      <c r="N1" s="78"/>
      <c r="O1" s="78"/>
      <c r="P1" s="78"/>
      <c r="Q1" s="78"/>
      <c r="R1" s="78"/>
      <c r="S1" s="165"/>
      <c r="T1" s="78"/>
      <c r="U1" s="78"/>
      <c r="V1" s="78"/>
      <c r="W1" s="78"/>
      <c r="X1" s="78"/>
      <c r="Y1" s="78"/>
      <c r="Z1" s="78"/>
      <c r="AA1" s="78"/>
      <c r="AB1" s="78"/>
      <c r="AC1" s="78"/>
    </row>
    <row r="2" spans="3:29" s="21" customFormat="1" ht="3.75" customHeight="1" x14ac:dyDescent="0.35"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  <c r="Z2" s="168"/>
      <c r="AA2" s="168"/>
      <c r="AB2" s="168"/>
      <c r="AC2" s="168"/>
    </row>
    <row r="3" spans="3:29" s="21" customFormat="1" ht="33" customHeight="1" x14ac:dyDescent="0.35">
      <c r="C3" s="167"/>
      <c r="D3" s="167"/>
      <c r="E3" s="169"/>
      <c r="F3" s="431" t="s">
        <v>174</v>
      </c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</row>
    <row r="4" spans="3:29" s="21" customFormat="1" ht="33" customHeight="1" x14ac:dyDescent="0.35">
      <c r="C4" s="167"/>
      <c r="D4" s="167"/>
      <c r="E4" s="170"/>
      <c r="F4" s="431" t="s">
        <v>175</v>
      </c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1"/>
      <c r="T4" s="431"/>
      <c r="U4" s="431"/>
      <c r="V4" s="431"/>
      <c r="W4" s="431"/>
      <c r="X4" s="431"/>
      <c r="Y4" s="431"/>
      <c r="Z4" s="431"/>
      <c r="AA4" s="431"/>
      <c r="AB4" s="431"/>
      <c r="AC4" s="431"/>
    </row>
    <row r="5" spans="3:29" s="21" customFormat="1" ht="33" customHeight="1" x14ac:dyDescent="0.35">
      <c r="C5" s="167"/>
      <c r="D5" s="167"/>
      <c r="E5" s="170"/>
      <c r="F5" s="431" t="s">
        <v>176</v>
      </c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</row>
    <row r="6" spans="3:29" s="21" customFormat="1" ht="24" customHeight="1" x14ac:dyDescent="0.65">
      <c r="C6" s="167"/>
      <c r="D6" s="167"/>
      <c r="E6" s="171"/>
      <c r="F6" s="172"/>
      <c r="G6" s="172"/>
      <c r="H6" s="172"/>
      <c r="I6" s="172"/>
      <c r="J6" s="173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4"/>
      <c r="V6" s="174"/>
      <c r="W6" s="174"/>
      <c r="X6" s="174"/>
      <c r="Y6" s="174"/>
      <c r="Z6" s="174"/>
      <c r="AA6" s="174"/>
      <c r="AB6" s="174"/>
      <c r="AC6" s="173"/>
    </row>
    <row r="7" spans="3:29" s="21" customFormat="1" ht="36" x14ac:dyDescent="0.35">
      <c r="C7" s="167"/>
      <c r="D7" s="167"/>
      <c r="E7" s="170"/>
      <c r="F7" s="431" t="s">
        <v>68</v>
      </c>
      <c r="G7" s="431"/>
      <c r="H7" s="431"/>
      <c r="I7" s="431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431"/>
      <c r="V7" s="431"/>
      <c r="W7" s="431"/>
      <c r="X7" s="431"/>
      <c r="Y7" s="431"/>
      <c r="Z7" s="431"/>
      <c r="AA7" s="431"/>
      <c r="AB7" s="431"/>
      <c r="AC7" s="431"/>
    </row>
    <row r="8" spans="3:29" s="21" customFormat="1" ht="94.5" customHeight="1" x14ac:dyDescent="0.45">
      <c r="C8" s="175"/>
      <c r="D8" s="175"/>
      <c r="E8" s="167"/>
      <c r="F8" s="176"/>
      <c r="G8" s="177"/>
      <c r="H8" s="177"/>
      <c r="I8" s="432" t="s">
        <v>177</v>
      </c>
      <c r="J8" s="4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  <c r="AA8" s="432"/>
      <c r="AB8" s="432"/>
      <c r="AC8" s="177"/>
    </row>
    <row r="9" spans="3:29" s="27" customFormat="1" ht="18.75" x14ac:dyDescent="0.35">
      <c r="C9" s="165"/>
      <c r="D9" s="165"/>
      <c r="E9" s="165"/>
      <c r="F9" s="165"/>
      <c r="G9" s="165"/>
      <c r="H9" s="165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68"/>
      <c r="W9" s="168"/>
      <c r="X9" s="168"/>
      <c r="Y9" s="168"/>
      <c r="Z9" s="168"/>
      <c r="AA9" s="179"/>
      <c r="AB9" s="179"/>
      <c r="AC9" s="179"/>
    </row>
    <row r="10" spans="3:29" ht="27.75" x14ac:dyDescent="0.5">
      <c r="C10" s="180"/>
      <c r="D10" s="180"/>
      <c r="E10" s="181"/>
      <c r="F10" s="75" t="s">
        <v>31</v>
      </c>
      <c r="G10" s="76"/>
      <c r="H10" s="76"/>
      <c r="I10" s="75" t="s">
        <v>17</v>
      </c>
      <c r="J10" s="77"/>
      <c r="K10" s="77"/>
      <c r="L10" s="77"/>
      <c r="M10" s="76"/>
      <c r="N10" s="76"/>
      <c r="O10" s="78"/>
      <c r="P10" s="78"/>
      <c r="Q10" s="78"/>
      <c r="R10" s="78"/>
      <c r="S10" s="165"/>
      <c r="T10" s="78"/>
      <c r="U10" s="78"/>
      <c r="V10" s="168"/>
      <c r="W10" s="168"/>
      <c r="X10" s="168"/>
      <c r="Y10" s="168"/>
      <c r="Z10" s="168"/>
      <c r="AA10" s="182"/>
      <c r="AB10" s="183"/>
      <c r="AC10" s="183"/>
    </row>
    <row r="11" spans="3:29" ht="22.5" customHeight="1" thickBot="1" x14ac:dyDescent="0.4">
      <c r="C11" s="166"/>
      <c r="D11" s="166"/>
      <c r="E11" s="78"/>
      <c r="F11" s="164"/>
      <c r="G11" s="164"/>
      <c r="H11" s="164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165"/>
      <c r="T11" s="78"/>
      <c r="U11" s="78"/>
      <c r="V11" s="78"/>
      <c r="W11" s="78"/>
      <c r="X11" s="78"/>
      <c r="Y11" s="78"/>
      <c r="Z11" s="78"/>
      <c r="AA11" s="78"/>
      <c r="AB11" s="78"/>
      <c r="AC11" s="78"/>
    </row>
    <row r="12" spans="3:29" s="42" customFormat="1" ht="22.5" customHeight="1" x14ac:dyDescent="0.25">
      <c r="C12" s="427" t="s">
        <v>0</v>
      </c>
      <c r="D12" s="418" t="s">
        <v>82</v>
      </c>
      <c r="E12" s="418" t="s">
        <v>1</v>
      </c>
      <c r="F12" s="418"/>
      <c r="G12" s="418"/>
      <c r="H12" s="418" t="s">
        <v>67</v>
      </c>
      <c r="I12" s="418" t="s">
        <v>173</v>
      </c>
      <c r="J12" s="418" t="s">
        <v>34</v>
      </c>
      <c r="K12" s="418" t="s">
        <v>60</v>
      </c>
      <c r="L12" s="418" t="s">
        <v>11</v>
      </c>
      <c r="M12" s="418"/>
      <c r="N12" s="418" t="s">
        <v>33</v>
      </c>
      <c r="O12" s="418"/>
      <c r="P12" s="418"/>
      <c r="Q12" s="418"/>
      <c r="R12" s="421"/>
      <c r="S12" s="79"/>
      <c r="T12" s="427" t="s">
        <v>16</v>
      </c>
      <c r="U12" s="418"/>
      <c r="V12" s="418"/>
      <c r="W12" s="418"/>
      <c r="X12" s="418"/>
      <c r="Y12" s="418"/>
      <c r="Z12" s="418" t="s">
        <v>64</v>
      </c>
      <c r="AA12" s="418" t="s">
        <v>42</v>
      </c>
      <c r="AB12" s="418" t="s">
        <v>65</v>
      </c>
      <c r="AC12" s="421" t="s">
        <v>66</v>
      </c>
    </row>
    <row r="13" spans="3:29" s="42" customFormat="1" ht="22.5" customHeight="1" x14ac:dyDescent="0.25">
      <c r="C13" s="428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22"/>
      <c r="S13" s="79"/>
      <c r="T13" s="428"/>
      <c r="U13" s="419"/>
      <c r="V13" s="419"/>
      <c r="W13" s="419"/>
      <c r="X13" s="419"/>
      <c r="Y13" s="419"/>
      <c r="Z13" s="419"/>
      <c r="AA13" s="419"/>
      <c r="AB13" s="419"/>
      <c r="AC13" s="422"/>
    </row>
    <row r="14" spans="3:29" s="42" customFormat="1" ht="53.25" customHeight="1" thickBot="1" x14ac:dyDescent="0.3">
      <c r="C14" s="433"/>
      <c r="D14" s="420"/>
      <c r="E14" s="80" t="s">
        <v>2</v>
      </c>
      <c r="F14" s="80" t="s">
        <v>3</v>
      </c>
      <c r="G14" s="80" t="s">
        <v>4</v>
      </c>
      <c r="H14" s="420"/>
      <c r="I14" s="420"/>
      <c r="J14" s="420"/>
      <c r="K14" s="80" t="s">
        <v>32</v>
      </c>
      <c r="L14" s="80" t="s">
        <v>12</v>
      </c>
      <c r="M14" s="80" t="s">
        <v>13</v>
      </c>
      <c r="N14" s="80" t="s">
        <v>5</v>
      </c>
      <c r="O14" s="80" t="s">
        <v>6</v>
      </c>
      <c r="P14" s="80" t="s">
        <v>7</v>
      </c>
      <c r="Q14" s="80" t="s">
        <v>9</v>
      </c>
      <c r="R14" s="81" t="s">
        <v>10</v>
      </c>
      <c r="S14" s="79"/>
      <c r="T14" s="82" t="s">
        <v>8</v>
      </c>
      <c r="U14" s="80" t="s">
        <v>14</v>
      </c>
      <c r="V14" s="80" t="s">
        <v>15</v>
      </c>
      <c r="W14" s="80" t="s">
        <v>76</v>
      </c>
      <c r="X14" s="80" t="s">
        <v>77</v>
      </c>
      <c r="Y14" s="80" t="s">
        <v>18</v>
      </c>
      <c r="Z14" s="420"/>
      <c r="AA14" s="420"/>
      <c r="AB14" s="420"/>
      <c r="AC14" s="423"/>
    </row>
    <row r="15" spans="3:29" s="19" customFormat="1" ht="44.25" customHeight="1" x14ac:dyDescent="0.2">
      <c r="C15" s="101"/>
      <c r="D15" s="101"/>
      <c r="E15" s="83" t="s">
        <v>48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spans="3:29" ht="75" customHeight="1" x14ac:dyDescent="0.2">
      <c r="C16" s="84">
        <v>1</v>
      </c>
      <c r="D16" s="84"/>
      <c r="E16" s="84"/>
      <c r="F16" s="85"/>
      <c r="G16" s="85"/>
      <c r="H16" s="86"/>
      <c r="I16" s="86"/>
      <c r="J16" s="86"/>
      <c r="K16" s="87"/>
      <c r="L16" s="88"/>
      <c r="M16" s="88"/>
      <c r="N16" s="88"/>
      <c r="O16" s="88"/>
      <c r="P16" s="88"/>
      <c r="Q16" s="88"/>
      <c r="R16" s="88"/>
      <c r="S16" s="89"/>
      <c r="T16" s="88"/>
      <c r="U16" s="88"/>
      <c r="V16" s="88"/>
      <c r="W16" s="88"/>
      <c r="X16" s="88"/>
      <c r="Y16" s="88">
        <f>SUM(T16:X16)</f>
        <v>0</v>
      </c>
      <c r="Z16" s="184"/>
      <c r="AA16" s="185"/>
      <c r="AB16" s="90"/>
      <c r="AC16" s="91"/>
    </row>
    <row r="17" spans="1:29" ht="75" customHeight="1" x14ac:dyDescent="0.2">
      <c r="C17" s="84">
        <v>2</v>
      </c>
      <c r="D17" s="84"/>
      <c r="E17" s="84"/>
      <c r="F17" s="85"/>
      <c r="G17" s="85"/>
      <c r="H17" s="86"/>
      <c r="I17" s="86"/>
      <c r="J17" s="86"/>
      <c r="K17" s="87"/>
      <c r="L17" s="88"/>
      <c r="M17" s="88"/>
      <c r="N17" s="92"/>
      <c r="O17" s="92"/>
      <c r="P17" s="92"/>
      <c r="Q17" s="92"/>
      <c r="R17" s="92"/>
      <c r="S17" s="89"/>
      <c r="T17" s="92"/>
      <c r="U17" s="92"/>
      <c r="V17" s="92"/>
      <c r="W17" s="92"/>
      <c r="X17" s="92"/>
      <c r="Y17" s="88">
        <f t="shared" ref="Y17:Y19" si="0">SUM(T17:X17)</f>
        <v>0</v>
      </c>
      <c r="Z17" s="184"/>
      <c r="AA17" s="185"/>
      <c r="AB17" s="90"/>
      <c r="AC17" s="91"/>
    </row>
    <row r="18" spans="1:29" ht="75" customHeight="1" x14ac:dyDescent="0.2">
      <c r="C18" s="84">
        <v>3</v>
      </c>
      <c r="D18" s="84"/>
      <c r="E18" s="84"/>
      <c r="F18" s="85"/>
      <c r="G18" s="85"/>
      <c r="H18" s="86"/>
      <c r="I18" s="86"/>
      <c r="J18" s="86"/>
      <c r="K18" s="87"/>
      <c r="L18" s="88"/>
      <c r="M18" s="88"/>
      <c r="N18" s="92"/>
      <c r="O18" s="92"/>
      <c r="P18" s="92"/>
      <c r="Q18" s="92"/>
      <c r="R18" s="92"/>
      <c r="S18" s="89"/>
      <c r="T18" s="92"/>
      <c r="U18" s="92"/>
      <c r="V18" s="92"/>
      <c r="W18" s="92"/>
      <c r="X18" s="92"/>
      <c r="Y18" s="88">
        <f t="shared" si="0"/>
        <v>0</v>
      </c>
      <c r="Z18" s="184"/>
      <c r="AA18" s="185"/>
      <c r="AB18" s="90"/>
      <c r="AC18" s="91"/>
    </row>
    <row r="19" spans="1:29" ht="75" customHeight="1" thickBot="1" x14ac:dyDescent="0.25">
      <c r="C19" s="84">
        <v>4</v>
      </c>
      <c r="D19" s="84"/>
      <c r="E19" s="84"/>
      <c r="F19" s="85"/>
      <c r="G19" s="85"/>
      <c r="H19" s="87"/>
      <c r="I19" s="87"/>
      <c r="J19" s="86"/>
      <c r="K19" s="87"/>
      <c r="L19" s="88"/>
      <c r="M19" s="88"/>
      <c r="N19" s="92"/>
      <c r="O19" s="92"/>
      <c r="P19" s="92"/>
      <c r="Q19" s="92"/>
      <c r="R19" s="92"/>
      <c r="S19" s="89"/>
      <c r="T19" s="92"/>
      <c r="U19" s="92"/>
      <c r="V19" s="92"/>
      <c r="W19" s="92"/>
      <c r="X19" s="92"/>
      <c r="Y19" s="88">
        <f t="shared" si="0"/>
        <v>0</v>
      </c>
      <c r="Z19" s="184"/>
      <c r="AA19" s="185"/>
      <c r="AB19" s="90"/>
      <c r="AC19" s="91"/>
    </row>
    <row r="20" spans="1:29" ht="56.25" customHeight="1" thickBot="1" x14ac:dyDescent="0.4">
      <c r="A20" s="32"/>
      <c r="B20" s="32"/>
      <c r="C20" s="93"/>
      <c r="D20" s="93"/>
      <c r="E20" s="93"/>
      <c r="F20" s="93"/>
      <c r="G20" s="93"/>
      <c r="H20" s="93"/>
      <c r="I20" s="78"/>
      <c r="J20" s="94"/>
      <c r="K20" s="95"/>
      <c r="L20" s="96" t="s">
        <v>61</v>
      </c>
      <c r="M20" s="78"/>
      <c r="N20" s="97">
        <f>SUM(N16:N19)</f>
        <v>0</v>
      </c>
      <c r="O20" s="97">
        <f>SUM(O16:O19)</f>
        <v>0</v>
      </c>
      <c r="P20" s="97">
        <f>SUM(P16:P19)</f>
        <v>0</v>
      </c>
      <c r="Q20" s="97">
        <f>SUM(Q16:Q19)</f>
        <v>0</v>
      </c>
      <c r="R20" s="97">
        <f>SUM(R16:R19)</f>
        <v>0</v>
      </c>
      <c r="S20" s="98"/>
      <c r="T20" s="97">
        <f>SUM(T16:T19)</f>
        <v>0</v>
      </c>
      <c r="U20" s="97">
        <f t="shared" ref="U20:Y20" si="1">SUM(U16:U19)</f>
        <v>0</v>
      </c>
      <c r="V20" s="97">
        <f t="shared" si="1"/>
        <v>0</v>
      </c>
      <c r="W20" s="97">
        <f t="shared" si="1"/>
        <v>0</v>
      </c>
      <c r="X20" s="97">
        <f t="shared" si="1"/>
        <v>0</v>
      </c>
      <c r="Y20" s="97">
        <f t="shared" si="1"/>
        <v>0</v>
      </c>
      <c r="Z20" s="186"/>
      <c r="AA20" s="187"/>
      <c r="AB20" s="99"/>
      <c r="AC20" s="100"/>
    </row>
    <row r="21" spans="1:29" s="19" customFormat="1" ht="43.5" customHeight="1" x14ac:dyDescent="0.2">
      <c r="C21" s="101"/>
      <c r="D21" s="101"/>
      <c r="E21" s="83" t="s">
        <v>26</v>
      </c>
      <c r="F21" s="102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3"/>
      <c r="U21" s="103"/>
      <c r="V21" s="103"/>
      <c r="W21" s="103"/>
      <c r="X21" s="103"/>
      <c r="Y21" s="103"/>
      <c r="Z21" s="103"/>
      <c r="AA21" s="103"/>
      <c r="AB21" s="101"/>
      <c r="AC21" s="101"/>
    </row>
    <row r="22" spans="1:29" ht="75" customHeight="1" x14ac:dyDescent="0.2">
      <c r="C22" s="84">
        <v>5</v>
      </c>
      <c r="D22" s="84"/>
      <c r="E22" s="84"/>
      <c r="F22" s="85"/>
      <c r="G22" s="85"/>
      <c r="H22" s="86"/>
      <c r="I22" s="86"/>
      <c r="J22" s="86"/>
      <c r="K22" s="87"/>
      <c r="L22" s="88"/>
      <c r="M22" s="88"/>
      <c r="N22" s="88"/>
      <c r="O22" s="88"/>
      <c r="P22" s="88"/>
      <c r="Q22" s="88"/>
      <c r="R22" s="88"/>
      <c r="S22" s="89"/>
      <c r="T22" s="88"/>
      <c r="U22" s="88"/>
      <c r="V22" s="88"/>
      <c r="W22" s="88"/>
      <c r="X22" s="88"/>
      <c r="Y22" s="88">
        <f>SUM(T22:X22)</f>
        <v>0</v>
      </c>
      <c r="Z22" s="184"/>
      <c r="AA22" s="185"/>
      <c r="AB22" s="90"/>
      <c r="AC22" s="91"/>
    </row>
    <row r="23" spans="1:29" ht="75" customHeight="1" x14ac:dyDescent="0.2">
      <c r="C23" s="84">
        <v>6</v>
      </c>
      <c r="D23" s="84"/>
      <c r="E23" s="84"/>
      <c r="F23" s="85"/>
      <c r="G23" s="85"/>
      <c r="H23" s="86"/>
      <c r="I23" s="86"/>
      <c r="J23" s="86"/>
      <c r="K23" s="87"/>
      <c r="L23" s="88"/>
      <c r="M23" s="88"/>
      <c r="N23" s="92"/>
      <c r="O23" s="92"/>
      <c r="P23" s="92"/>
      <c r="Q23" s="92"/>
      <c r="R23" s="92"/>
      <c r="S23" s="89"/>
      <c r="T23" s="92"/>
      <c r="U23" s="92"/>
      <c r="V23" s="92"/>
      <c r="W23" s="92"/>
      <c r="X23" s="92"/>
      <c r="Y23" s="88">
        <f t="shared" ref="Y23:Y25" si="2">SUM(T23:X23)</f>
        <v>0</v>
      </c>
      <c r="Z23" s="184"/>
      <c r="AA23" s="185"/>
      <c r="AB23" s="90"/>
      <c r="AC23" s="91"/>
    </row>
    <row r="24" spans="1:29" ht="75" customHeight="1" x14ac:dyDescent="0.2">
      <c r="C24" s="84">
        <v>7</v>
      </c>
      <c r="D24" s="84"/>
      <c r="E24" s="84"/>
      <c r="F24" s="85"/>
      <c r="G24" s="85"/>
      <c r="H24" s="86"/>
      <c r="I24" s="86"/>
      <c r="J24" s="86"/>
      <c r="K24" s="87"/>
      <c r="L24" s="88"/>
      <c r="M24" s="88"/>
      <c r="N24" s="92"/>
      <c r="O24" s="92"/>
      <c r="P24" s="92"/>
      <c r="Q24" s="92"/>
      <c r="R24" s="92"/>
      <c r="S24" s="89"/>
      <c r="T24" s="92"/>
      <c r="U24" s="92"/>
      <c r="V24" s="92"/>
      <c r="W24" s="92"/>
      <c r="X24" s="92"/>
      <c r="Y24" s="88">
        <f t="shared" si="2"/>
        <v>0</v>
      </c>
      <c r="Z24" s="184"/>
      <c r="AA24" s="185"/>
      <c r="AB24" s="90"/>
      <c r="AC24" s="91"/>
    </row>
    <row r="25" spans="1:29" ht="75" customHeight="1" thickBot="1" x14ac:dyDescent="0.25">
      <c r="C25" s="84">
        <v>8</v>
      </c>
      <c r="D25" s="84"/>
      <c r="E25" s="84"/>
      <c r="F25" s="85"/>
      <c r="G25" s="85"/>
      <c r="H25" s="87"/>
      <c r="I25" s="87"/>
      <c r="J25" s="86"/>
      <c r="K25" s="87"/>
      <c r="L25" s="88"/>
      <c r="M25" s="88"/>
      <c r="N25" s="92"/>
      <c r="O25" s="92"/>
      <c r="P25" s="92"/>
      <c r="Q25" s="92"/>
      <c r="R25" s="92"/>
      <c r="S25" s="89"/>
      <c r="T25" s="88"/>
      <c r="U25" s="88"/>
      <c r="V25" s="88"/>
      <c r="W25" s="88"/>
      <c r="X25" s="88"/>
      <c r="Y25" s="88">
        <f t="shared" si="2"/>
        <v>0</v>
      </c>
      <c r="Z25" s="184"/>
      <c r="AA25" s="185"/>
      <c r="AB25" s="90"/>
      <c r="AC25" s="91"/>
    </row>
    <row r="26" spans="1:29" ht="56.25" customHeight="1" thickBot="1" x14ac:dyDescent="0.4">
      <c r="A26" s="32"/>
      <c r="B26" s="32"/>
      <c r="C26" s="104"/>
      <c r="D26" s="104"/>
      <c r="E26" s="104"/>
      <c r="F26" s="104"/>
      <c r="G26" s="104"/>
      <c r="H26" s="104"/>
      <c r="I26" s="104"/>
      <c r="J26" s="105"/>
      <c r="K26" s="106"/>
      <c r="L26" s="107" t="s">
        <v>62</v>
      </c>
      <c r="M26" s="78"/>
      <c r="N26" s="97">
        <f>SUM(N22:N25)</f>
        <v>0</v>
      </c>
      <c r="O26" s="97">
        <f>SUM(O22:O25)</f>
        <v>0</v>
      </c>
      <c r="P26" s="97">
        <f>SUM(P22:P25)</f>
        <v>0</v>
      </c>
      <c r="Q26" s="97">
        <f>SUM(Q22:Q25)</f>
        <v>0</v>
      </c>
      <c r="R26" s="97">
        <f>SUM(R22:R25)</f>
        <v>0</v>
      </c>
      <c r="S26" s="98"/>
      <c r="T26" s="97">
        <f t="shared" ref="T26:Y26" si="3">SUM(T22:T25)</f>
        <v>0</v>
      </c>
      <c r="U26" s="97">
        <f t="shared" si="3"/>
        <v>0</v>
      </c>
      <c r="V26" s="97">
        <f t="shared" si="3"/>
        <v>0</v>
      </c>
      <c r="W26" s="97">
        <f t="shared" si="3"/>
        <v>0</v>
      </c>
      <c r="X26" s="97">
        <f t="shared" si="3"/>
        <v>0</v>
      </c>
      <c r="Y26" s="97">
        <f t="shared" si="3"/>
        <v>0</v>
      </c>
      <c r="Z26" s="188"/>
      <c r="AA26" s="189"/>
      <c r="AB26" s="108"/>
      <c r="AC26" s="109"/>
    </row>
    <row r="27" spans="1:29" s="19" customFormat="1" ht="48" customHeight="1" x14ac:dyDescent="0.2">
      <c r="C27" s="101"/>
      <c r="D27" s="101"/>
      <c r="E27" s="83" t="s">
        <v>27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3"/>
      <c r="U27" s="103"/>
      <c r="V27" s="103"/>
      <c r="W27" s="103"/>
      <c r="X27" s="103"/>
      <c r="Y27" s="103"/>
      <c r="Z27" s="103"/>
      <c r="AA27" s="103"/>
      <c r="AB27" s="101"/>
      <c r="AC27" s="101"/>
    </row>
    <row r="28" spans="1:29" ht="75" customHeight="1" x14ac:dyDescent="0.2">
      <c r="C28" s="84">
        <v>9</v>
      </c>
      <c r="D28" s="84"/>
      <c r="E28" s="84"/>
      <c r="F28" s="85"/>
      <c r="G28" s="85"/>
      <c r="H28" s="86"/>
      <c r="I28" s="86"/>
      <c r="J28" s="86"/>
      <c r="K28" s="87"/>
      <c r="L28" s="88"/>
      <c r="M28" s="88"/>
      <c r="N28" s="88"/>
      <c r="O28" s="88"/>
      <c r="P28" s="88"/>
      <c r="Q28" s="88"/>
      <c r="R28" s="88"/>
      <c r="S28" s="89"/>
      <c r="T28" s="88"/>
      <c r="U28" s="88"/>
      <c r="V28" s="88"/>
      <c r="W28" s="88"/>
      <c r="X28" s="88"/>
      <c r="Y28" s="88">
        <f>SUM(T28:X28)</f>
        <v>0</v>
      </c>
      <c r="Z28" s="184"/>
      <c r="AA28" s="185"/>
      <c r="AB28" s="90"/>
      <c r="AC28" s="91"/>
    </row>
    <row r="29" spans="1:29" ht="75" customHeight="1" x14ac:dyDescent="0.2">
      <c r="C29" s="84">
        <v>10</v>
      </c>
      <c r="D29" s="84"/>
      <c r="E29" s="84"/>
      <c r="F29" s="85"/>
      <c r="G29" s="85"/>
      <c r="H29" s="86"/>
      <c r="I29" s="86"/>
      <c r="J29" s="86"/>
      <c r="K29" s="87"/>
      <c r="L29" s="88"/>
      <c r="M29" s="88"/>
      <c r="N29" s="92"/>
      <c r="O29" s="92"/>
      <c r="P29" s="92"/>
      <c r="Q29" s="92"/>
      <c r="R29" s="92"/>
      <c r="S29" s="89"/>
      <c r="T29" s="92"/>
      <c r="U29" s="92"/>
      <c r="V29" s="92"/>
      <c r="W29" s="92"/>
      <c r="X29" s="92"/>
      <c r="Y29" s="88">
        <f t="shared" ref="Y29:Y31" si="4">SUM(T29:X29)</f>
        <v>0</v>
      </c>
      <c r="Z29" s="184"/>
      <c r="AA29" s="185"/>
      <c r="AB29" s="90"/>
      <c r="AC29" s="91"/>
    </row>
    <row r="30" spans="1:29" ht="75" customHeight="1" x14ac:dyDescent="0.2">
      <c r="C30" s="84">
        <v>11</v>
      </c>
      <c r="D30" s="84"/>
      <c r="E30" s="84"/>
      <c r="F30" s="85"/>
      <c r="G30" s="85"/>
      <c r="H30" s="86"/>
      <c r="I30" s="86"/>
      <c r="J30" s="86"/>
      <c r="K30" s="87"/>
      <c r="L30" s="88"/>
      <c r="M30" s="88"/>
      <c r="N30" s="92"/>
      <c r="O30" s="92"/>
      <c r="P30" s="92"/>
      <c r="Q30" s="92"/>
      <c r="R30" s="92"/>
      <c r="S30" s="89"/>
      <c r="T30" s="92"/>
      <c r="U30" s="92"/>
      <c r="V30" s="92"/>
      <c r="W30" s="92"/>
      <c r="X30" s="92"/>
      <c r="Y30" s="88">
        <f t="shared" si="4"/>
        <v>0</v>
      </c>
      <c r="Z30" s="184"/>
      <c r="AA30" s="185"/>
      <c r="AB30" s="90"/>
      <c r="AC30" s="91"/>
    </row>
    <row r="31" spans="1:29" ht="75" customHeight="1" thickBot="1" x14ac:dyDescent="0.25">
      <c r="C31" s="84">
        <v>12</v>
      </c>
      <c r="D31" s="84"/>
      <c r="E31" s="84"/>
      <c r="F31" s="85"/>
      <c r="G31" s="85"/>
      <c r="H31" s="87"/>
      <c r="I31" s="87"/>
      <c r="J31" s="86"/>
      <c r="K31" s="87"/>
      <c r="L31" s="88"/>
      <c r="M31" s="88"/>
      <c r="N31" s="92"/>
      <c r="O31" s="92"/>
      <c r="P31" s="92"/>
      <c r="Q31" s="92"/>
      <c r="R31" s="92"/>
      <c r="S31" s="89"/>
      <c r="T31" s="92"/>
      <c r="U31" s="92"/>
      <c r="V31" s="92"/>
      <c r="W31" s="92"/>
      <c r="X31" s="92"/>
      <c r="Y31" s="88">
        <f t="shared" si="4"/>
        <v>0</v>
      </c>
      <c r="Z31" s="184"/>
      <c r="AA31" s="185"/>
      <c r="AB31" s="90"/>
      <c r="AC31" s="91"/>
    </row>
    <row r="32" spans="1:29" ht="56.25" customHeight="1" thickBot="1" x14ac:dyDescent="0.4">
      <c r="A32" s="32"/>
      <c r="B32" s="32"/>
      <c r="C32" s="93"/>
      <c r="D32" s="93"/>
      <c r="E32" s="93"/>
      <c r="F32" s="93"/>
      <c r="G32" s="93"/>
      <c r="H32" s="93"/>
      <c r="I32" s="78"/>
      <c r="J32" s="94"/>
      <c r="K32" s="95"/>
      <c r="L32" s="96" t="s">
        <v>63</v>
      </c>
      <c r="M32" s="78"/>
      <c r="N32" s="97">
        <f>SUM(N28:N31)</f>
        <v>0</v>
      </c>
      <c r="O32" s="97">
        <f>SUM(O28:O31)</f>
        <v>0</v>
      </c>
      <c r="P32" s="97">
        <f>SUM(P28:P31)</f>
        <v>0</v>
      </c>
      <c r="Q32" s="97">
        <f>SUM(Q28:Q31)</f>
        <v>0</v>
      </c>
      <c r="R32" s="97">
        <f>SUM(R28:R31)</f>
        <v>0</v>
      </c>
      <c r="S32" s="98"/>
      <c r="T32" s="97">
        <f>SUM(T28:T31)</f>
        <v>0</v>
      </c>
      <c r="U32" s="97">
        <f t="shared" ref="U32" si="5">SUM(U28:U31)</f>
        <v>0</v>
      </c>
      <c r="V32" s="97">
        <f t="shared" ref="V32" si="6">SUM(V28:V31)</f>
        <v>0</v>
      </c>
      <c r="W32" s="97">
        <f t="shared" ref="W32:X32" si="7">SUM(W28:W31)</f>
        <v>0</v>
      </c>
      <c r="X32" s="97">
        <f t="shared" si="7"/>
        <v>0</v>
      </c>
      <c r="Y32" s="97">
        <f t="shared" ref="Y32" si="8">SUM(Y28:Y31)</f>
        <v>0</v>
      </c>
      <c r="Z32" s="186"/>
      <c r="AA32" s="187"/>
      <c r="AB32" s="99"/>
      <c r="AC32" s="100"/>
    </row>
    <row r="33" spans="3:29" s="19" customFormat="1" ht="18.75" x14ac:dyDescent="0.2">
      <c r="C33" s="101"/>
      <c r="D33" s="101"/>
      <c r="E33" s="110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3"/>
      <c r="U33" s="103"/>
      <c r="V33" s="103"/>
      <c r="W33" s="103"/>
      <c r="X33" s="103"/>
      <c r="Y33" s="103"/>
      <c r="Z33" s="103"/>
      <c r="AA33" s="103"/>
      <c r="AB33" s="101"/>
      <c r="AC33" s="101"/>
    </row>
    <row r="34" spans="3:29" s="33" customFormat="1" ht="60" customHeight="1" x14ac:dyDescent="0.25">
      <c r="C34" s="84">
        <v>13</v>
      </c>
      <c r="D34" s="84"/>
      <c r="E34" s="84"/>
      <c r="F34" s="85"/>
      <c r="G34" s="85"/>
      <c r="H34" s="85"/>
      <c r="I34" s="111" t="s">
        <v>24</v>
      </c>
      <c r="J34" s="86"/>
      <c r="K34" s="87"/>
      <c r="L34" s="87" t="s">
        <v>162</v>
      </c>
      <c r="M34" s="88"/>
      <c r="N34" s="112"/>
      <c r="O34" s="112"/>
      <c r="P34" s="112"/>
      <c r="Q34" s="112"/>
      <c r="R34" s="112"/>
      <c r="S34" s="89"/>
      <c r="T34" s="113"/>
      <c r="U34" s="113"/>
      <c r="V34" s="113"/>
      <c r="W34" s="113"/>
      <c r="X34" s="113"/>
      <c r="Y34" s="88">
        <f t="shared" ref="Y34:Y36" si="9">SUM(T34:X34)</f>
        <v>0</v>
      </c>
      <c r="Z34" s="184"/>
      <c r="AA34" s="185"/>
      <c r="AB34" s="84"/>
      <c r="AC34" s="91"/>
    </row>
    <row r="35" spans="3:29" s="33" customFormat="1" ht="60" customHeight="1" x14ac:dyDescent="0.25">
      <c r="C35" s="84">
        <v>14</v>
      </c>
      <c r="D35" s="84"/>
      <c r="E35" s="84"/>
      <c r="F35" s="85"/>
      <c r="G35" s="85"/>
      <c r="H35" s="85"/>
      <c r="I35" s="111" t="s">
        <v>25</v>
      </c>
      <c r="J35" s="86"/>
      <c r="K35" s="87"/>
      <c r="L35" s="87" t="s">
        <v>103</v>
      </c>
      <c r="M35" s="88"/>
      <c r="N35" s="112"/>
      <c r="O35" s="112"/>
      <c r="P35" s="112"/>
      <c r="Q35" s="112"/>
      <c r="R35" s="112"/>
      <c r="S35" s="89"/>
      <c r="T35" s="113"/>
      <c r="U35" s="113"/>
      <c r="V35" s="113"/>
      <c r="W35" s="113"/>
      <c r="X35" s="113"/>
      <c r="Y35" s="88">
        <f t="shared" si="9"/>
        <v>0</v>
      </c>
      <c r="Z35" s="184"/>
      <c r="AA35" s="185"/>
      <c r="AB35" s="84"/>
      <c r="AC35" s="91"/>
    </row>
    <row r="36" spans="3:29" ht="60" customHeight="1" x14ac:dyDescent="0.2">
      <c r="C36" s="114">
        <v>15</v>
      </c>
      <c r="D36" s="114"/>
      <c r="E36" s="114"/>
      <c r="F36" s="115"/>
      <c r="G36" s="115"/>
      <c r="H36" s="115"/>
      <c r="I36" s="116" t="s">
        <v>58</v>
      </c>
      <c r="J36" s="86"/>
      <c r="K36" s="87"/>
      <c r="L36" s="117"/>
      <c r="M36" s="117"/>
      <c r="N36" s="118"/>
      <c r="O36" s="118"/>
      <c r="P36" s="118"/>
      <c r="Q36" s="118"/>
      <c r="R36" s="118"/>
      <c r="S36" s="119"/>
      <c r="T36" s="120"/>
      <c r="U36" s="120"/>
      <c r="V36" s="120"/>
      <c r="W36" s="120"/>
      <c r="X36" s="120"/>
      <c r="Y36" s="88">
        <f t="shared" si="9"/>
        <v>0</v>
      </c>
      <c r="Z36" s="184"/>
      <c r="AA36" s="185"/>
      <c r="AB36" s="114"/>
      <c r="AC36" s="121"/>
    </row>
    <row r="37" spans="3:29" ht="23.25" customHeight="1" x14ac:dyDescent="0.2">
      <c r="C37" s="122"/>
      <c r="D37" s="122"/>
      <c r="E37" s="122"/>
      <c r="F37" s="123"/>
      <c r="G37" s="123"/>
      <c r="H37" s="123"/>
      <c r="I37" s="124"/>
      <c r="J37" s="124"/>
      <c r="K37" s="124"/>
      <c r="L37" s="124"/>
      <c r="M37" s="124"/>
      <c r="N37" s="125">
        <f>N20+N26+N32</f>
        <v>0</v>
      </c>
      <c r="O37" s="125">
        <f t="shared" ref="O37:R37" si="10">SUM(O34:O36)+O20+O26+O32</f>
        <v>0</v>
      </c>
      <c r="P37" s="125">
        <f t="shared" si="10"/>
        <v>0</v>
      </c>
      <c r="Q37" s="125">
        <f t="shared" si="10"/>
        <v>0</v>
      </c>
      <c r="R37" s="125">
        <f t="shared" si="10"/>
        <v>0</v>
      </c>
      <c r="S37" s="126"/>
      <c r="T37" s="125">
        <f>SUM(T34:T36)+T20+T26+T32</f>
        <v>0</v>
      </c>
      <c r="U37" s="125">
        <f t="shared" ref="U37:Y37" si="11">SUM(U34:U36)+U20+U26+U32</f>
        <v>0</v>
      </c>
      <c r="V37" s="125">
        <f t="shared" si="11"/>
        <v>0</v>
      </c>
      <c r="W37" s="125">
        <f t="shared" si="11"/>
        <v>0</v>
      </c>
      <c r="X37" s="125">
        <f t="shared" si="11"/>
        <v>0</v>
      </c>
      <c r="Y37" s="125">
        <f t="shared" si="11"/>
        <v>0</v>
      </c>
      <c r="Z37" s="190"/>
      <c r="AA37" s="191"/>
      <c r="AB37" s="122"/>
      <c r="AC37" s="127"/>
    </row>
    <row r="38" spans="3:29" s="27" customFormat="1" ht="21" customHeight="1" x14ac:dyDescent="0.2">
      <c r="C38" s="192"/>
      <c r="D38" s="192"/>
      <c r="E38" s="192"/>
      <c r="F38" s="193"/>
      <c r="G38" s="193"/>
      <c r="H38" s="193"/>
      <c r="I38" s="194"/>
      <c r="J38" s="194"/>
      <c r="K38" s="194"/>
      <c r="L38" s="195"/>
      <c r="M38" s="195"/>
      <c r="N38" s="195"/>
      <c r="O38" s="195"/>
      <c r="P38" s="195"/>
      <c r="Q38" s="195"/>
      <c r="R38" s="195"/>
      <c r="S38" s="195"/>
      <c r="T38" s="196"/>
      <c r="U38" s="196"/>
      <c r="V38" s="196"/>
      <c r="W38" s="196"/>
      <c r="X38" s="196"/>
      <c r="Y38" s="196"/>
      <c r="Z38" s="197"/>
      <c r="AA38" s="198"/>
      <c r="AB38" s="192"/>
      <c r="AC38" s="198"/>
    </row>
    <row r="39" spans="3:29" s="15" customFormat="1" ht="24" x14ac:dyDescent="0.45">
      <c r="C39" s="138"/>
      <c r="D39" s="138"/>
      <c r="E39" s="128" t="s">
        <v>35</v>
      </c>
      <c r="F39" s="129" t="s">
        <v>59</v>
      </c>
      <c r="G39" s="130"/>
      <c r="H39" s="131"/>
      <c r="I39" s="131"/>
      <c r="J39" s="131"/>
      <c r="K39" s="132" t="s">
        <v>56</v>
      </c>
      <c r="L39" s="133"/>
      <c r="M39" s="133"/>
      <c r="N39" s="134"/>
      <c r="O39" s="135" t="s">
        <v>57</v>
      </c>
      <c r="P39" s="136"/>
      <c r="Q39" s="136"/>
      <c r="R39" s="136"/>
      <c r="S39" s="137"/>
      <c r="T39" s="136"/>
      <c r="U39" s="138"/>
      <c r="V39" s="139"/>
      <c r="W39" s="139"/>
      <c r="X39" s="139"/>
      <c r="Y39" s="140"/>
      <c r="Z39" s="140"/>
      <c r="AA39" s="141"/>
      <c r="AB39" s="141"/>
      <c r="AC39" s="141"/>
    </row>
    <row r="40" spans="3:29" s="15" customFormat="1" ht="24" x14ac:dyDescent="0.45">
      <c r="C40" s="138"/>
      <c r="D40" s="138"/>
      <c r="E40" s="136"/>
      <c r="F40" s="129" t="s">
        <v>36</v>
      </c>
      <c r="G40" s="130"/>
      <c r="H40" s="130"/>
      <c r="I40" s="130"/>
      <c r="J40" s="429" t="s">
        <v>85</v>
      </c>
      <c r="K40" s="429"/>
      <c r="L40" s="429"/>
      <c r="M40" s="429"/>
      <c r="N40" s="136"/>
      <c r="O40" s="142" t="s">
        <v>37</v>
      </c>
      <c r="P40" s="135" t="s">
        <v>43</v>
      </c>
      <c r="Q40" s="136"/>
      <c r="R40" s="136"/>
      <c r="S40" s="137"/>
      <c r="T40" s="136"/>
      <c r="U40" s="143"/>
      <c r="V40" s="144"/>
      <c r="W40" s="139"/>
      <c r="X40" s="139"/>
      <c r="Y40" s="140"/>
      <c r="Z40" s="140"/>
      <c r="AA40" s="141"/>
      <c r="AB40" s="141"/>
      <c r="AC40" s="141"/>
    </row>
    <row r="41" spans="3:29" s="15" customFormat="1" ht="24" x14ac:dyDescent="0.45">
      <c r="C41" s="138"/>
      <c r="D41" s="138"/>
      <c r="E41" s="136"/>
      <c r="F41" s="129" t="s">
        <v>39</v>
      </c>
      <c r="G41" s="130"/>
      <c r="H41" s="130"/>
      <c r="I41" s="130"/>
      <c r="J41" s="430" t="s">
        <v>86</v>
      </c>
      <c r="K41" s="430"/>
      <c r="L41" s="430"/>
      <c r="M41" s="430"/>
      <c r="N41" s="136"/>
      <c r="O41" s="142" t="s">
        <v>38</v>
      </c>
      <c r="P41" s="135" t="s">
        <v>44</v>
      </c>
      <c r="Q41" s="136"/>
      <c r="R41" s="136"/>
      <c r="S41" s="137"/>
      <c r="T41" s="136"/>
      <c r="U41" s="143"/>
      <c r="V41" s="144"/>
      <c r="W41" s="139"/>
      <c r="X41" s="139"/>
      <c r="Y41" s="140"/>
      <c r="Z41" s="140"/>
      <c r="AA41" s="141"/>
      <c r="AB41" s="141"/>
      <c r="AC41" s="141"/>
    </row>
    <row r="42" spans="3:29" s="15" customFormat="1" ht="24" x14ac:dyDescent="0.45">
      <c r="C42" s="138"/>
      <c r="D42" s="138"/>
      <c r="E42" s="136"/>
      <c r="F42" s="74" t="s">
        <v>169</v>
      </c>
      <c r="G42" s="130"/>
      <c r="H42" s="130"/>
      <c r="I42" s="130"/>
      <c r="J42" s="429" t="s">
        <v>87</v>
      </c>
      <c r="K42" s="429"/>
      <c r="L42" s="429"/>
      <c r="M42" s="429"/>
      <c r="N42" s="136"/>
      <c r="O42" s="142" t="s">
        <v>40</v>
      </c>
      <c r="P42" s="135" t="s">
        <v>45</v>
      </c>
      <c r="Q42" s="136"/>
      <c r="R42" s="136"/>
      <c r="S42" s="137"/>
      <c r="T42" s="136"/>
      <c r="U42" s="143"/>
      <c r="V42" s="143"/>
      <c r="W42" s="138"/>
      <c r="X42" s="138"/>
      <c r="Y42" s="138"/>
      <c r="Z42" s="138"/>
      <c r="AA42" s="138"/>
      <c r="AB42" s="138"/>
      <c r="AC42" s="138"/>
    </row>
    <row r="43" spans="3:29" s="15" customFormat="1" ht="24" x14ac:dyDescent="0.45">
      <c r="C43" s="138"/>
      <c r="D43" s="138"/>
      <c r="E43" s="136"/>
      <c r="F43" s="130"/>
      <c r="G43" s="130"/>
      <c r="H43" s="130"/>
      <c r="I43" s="130"/>
      <c r="J43" s="145"/>
      <c r="K43" s="145"/>
      <c r="L43" s="142"/>
      <c r="M43" s="146"/>
      <c r="N43" s="136"/>
      <c r="O43" s="142" t="s">
        <v>41</v>
      </c>
      <c r="P43" s="135" t="s">
        <v>46</v>
      </c>
      <c r="Q43" s="136"/>
      <c r="R43" s="136"/>
      <c r="S43" s="137"/>
      <c r="T43" s="136"/>
      <c r="U43" s="143"/>
      <c r="V43" s="143"/>
      <c r="W43" s="138"/>
      <c r="X43" s="138"/>
      <c r="Y43" s="138"/>
      <c r="Z43" s="138"/>
      <c r="AA43" s="138"/>
      <c r="AB43" s="138"/>
      <c r="AC43" s="138"/>
    </row>
    <row r="44" spans="3:29" s="15" customFormat="1" ht="24" x14ac:dyDescent="0.45">
      <c r="C44" s="138"/>
      <c r="D44" s="138"/>
      <c r="E44" s="136"/>
      <c r="F44" s="138"/>
      <c r="G44" s="130"/>
      <c r="H44" s="130"/>
      <c r="I44" s="130"/>
      <c r="J44" s="147"/>
      <c r="K44" s="147"/>
      <c r="L44" s="142"/>
      <c r="M44" s="146"/>
      <c r="N44" s="136"/>
      <c r="O44" s="142"/>
      <c r="P44" s="135"/>
      <c r="Q44" s="136"/>
      <c r="R44" s="136"/>
      <c r="S44" s="137"/>
      <c r="T44" s="136"/>
      <c r="U44" s="143"/>
      <c r="V44" s="143"/>
      <c r="W44" s="138"/>
      <c r="X44" s="138"/>
      <c r="Y44" s="138"/>
      <c r="Z44" s="138"/>
      <c r="AA44" s="138"/>
      <c r="AB44" s="138"/>
      <c r="AC44" s="138"/>
    </row>
    <row r="45" spans="3:29" s="15" customFormat="1" ht="24" x14ac:dyDescent="0.45">
      <c r="C45" s="138"/>
      <c r="D45" s="138"/>
      <c r="E45" s="136"/>
      <c r="F45" s="133" t="s">
        <v>84</v>
      </c>
      <c r="G45" s="130"/>
      <c r="H45" s="130"/>
      <c r="I45" s="130"/>
      <c r="J45" s="136"/>
      <c r="K45" s="136"/>
      <c r="L45" s="142"/>
      <c r="M45" s="146"/>
      <c r="N45" s="136"/>
      <c r="O45" s="136"/>
      <c r="P45" s="148"/>
      <c r="Q45" s="136"/>
      <c r="R45" s="136"/>
      <c r="S45" s="137"/>
      <c r="T45" s="136"/>
      <c r="U45" s="143"/>
      <c r="V45" s="143"/>
      <c r="W45" s="138"/>
      <c r="X45" s="138"/>
      <c r="Y45" s="138"/>
      <c r="Z45" s="138"/>
      <c r="AA45" s="138"/>
      <c r="AB45" s="138"/>
      <c r="AC45" s="138"/>
    </row>
    <row r="46" spans="3:29" s="15" customFormat="1" ht="18.75" x14ac:dyDescent="0.35">
      <c r="C46" s="138"/>
      <c r="D46" s="138"/>
      <c r="E46" s="138"/>
      <c r="F46" s="138"/>
      <c r="G46" s="138"/>
      <c r="H46" s="138"/>
      <c r="I46" s="138"/>
      <c r="J46" s="138"/>
      <c r="K46" s="138"/>
      <c r="L46" s="149"/>
      <c r="M46" s="150"/>
      <c r="N46" s="138"/>
      <c r="O46" s="138"/>
      <c r="P46" s="138"/>
      <c r="Q46" s="138"/>
      <c r="R46" s="138"/>
      <c r="S46" s="151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</row>
    <row r="47" spans="3:29" s="15" customFormat="1" ht="18.75" x14ac:dyDescent="0.35"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51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</row>
    <row r="48" spans="3:29" s="43" customFormat="1" ht="24" x14ac:dyDescent="0.45">
      <c r="C48" s="136"/>
      <c r="D48" s="136"/>
      <c r="E48" s="136"/>
      <c r="F48" s="414" t="s">
        <v>52</v>
      </c>
      <c r="G48" s="414"/>
      <c r="H48" s="414"/>
      <c r="I48" s="152"/>
      <c r="J48" s="152"/>
      <c r="K48" s="152"/>
      <c r="L48" s="424" t="s">
        <v>49</v>
      </c>
      <c r="M48" s="424"/>
      <c r="N48" s="424"/>
      <c r="O48" s="424"/>
      <c r="P48" s="424"/>
      <c r="Q48" s="424"/>
      <c r="R48" s="136"/>
      <c r="S48" s="137"/>
      <c r="T48" s="136"/>
      <c r="U48" s="136"/>
      <c r="V48" s="136"/>
      <c r="W48" s="425" t="s">
        <v>50</v>
      </c>
      <c r="X48" s="425"/>
      <c r="Y48" s="425"/>
      <c r="Z48" s="425"/>
      <c r="AA48" s="425"/>
      <c r="AB48" s="136"/>
      <c r="AC48" s="136"/>
    </row>
    <row r="49" spans="3:29" s="43" customFormat="1" ht="24" x14ac:dyDescent="0.45">
      <c r="C49" s="136"/>
      <c r="D49" s="136"/>
      <c r="E49" s="136"/>
      <c r="F49" s="135" t="s">
        <v>53</v>
      </c>
      <c r="G49" s="135"/>
      <c r="H49" s="135"/>
      <c r="I49" s="153"/>
      <c r="J49" s="136"/>
      <c r="K49" s="426" t="s">
        <v>51</v>
      </c>
      <c r="L49" s="426"/>
      <c r="M49" s="426"/>
      <c r="N49" s="426"/>
      <c r="O49" s="426"/>
      <c r="P49" s="426"/>
      <c r="Q49" s="426"/>
      <c r="R49" s="426"/>
      <c r="S49" s="137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</row>
    <row r="50" spans="3:29" s="43" customFormat="1" ht="24" x14ac:dyDescent="0.45">
      <c r="C50" s="136"/>
      <c r="D50" s="136"/>
      <c r="E50" s="136"/>
      <c r="F50" s="414" t="s">
        <v>54</v>
      </c>
      <c r="G50" s="414"/>
      <c r="H50" s="414"/>
      <c r="I50" s="154"/>
      <c r="J50" s="136"/>
      <c r="K50" s="136"/>
      <c r="L50" s="155"/>
      <c r="M50" s="155"/>
      <c r="N50" s="156"/>
      <c r="O50" s="157"/>
      <c r="P50" s="155"/>
      <c r="Q50" s="155"/>
      <c r="R50" s="136"/>
      <c r="S50" s="137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</row>
    <row r="51" spans="3:29" s="43" customFormat="1" ht="24" x14ac:dyDescent="0.45">
      <c r="C51" s="136"/>
      <c r="D51" s="136"/>
      <c r="E51" s="136"/>
      <c r="F51" s="134"/>
      <c r="G51" s="133"/>
      <c r="H51" s="133"/>
      <c r="I51" s="153"/>
      <c r="J51" s="136"/>
      <c r="K51" s="136"/>
      <c r="L51" s="155"/>
      <c r="M51" s="155"/>
      <c r="N51" s="156"/>
      <c r="O51" s="157"/>
      <c r="P51" s="155"/>
      <c r="Q51" s="155"/>
      <c r="R51" s="136"/>
      <c r="S51" s="137"/>
      <c r="T51" s="136"/>
      <c r="U51" s="136"/>
      <c r="V51" s="136"/>
      <c r="W51" s="136"/>
      <c r="X51" s="136"/>
      <c r="Y51" s="157"/>
      <c r="Z51" s="157"/>
      <c r="AA51" s="155"/>
      <c r="AB51" s="136"/>
      <c r="AC51" s="136"/>
    </row>
    <row r="52" spans="3:29" s="43" customFormat="1" ht="24" x14ac:dyDescent="0.45">
      <c r="C52" s="136"/>
      <c r="D52" s="136"/>
      <c r="E52" s="136"/>
      <c r="F52" s="158"/>
      <c r="G52" s="158"/>
      <c r="H52" s="158"/>
      <c r="I52" s="137"/>
      <c r="J52" s="136"/>
      <c r="K52" s="136"/>
      <c r="L52" s="159"/>
      <c r="M52" s="159"/>
      <c r="N52" s="160"/>
      <c r="O52" s="161"/>
      <c r="P52" s="162"/>
      <c r="Q52" s="162"/>
      <c r="R52" s="136"/>
      <c r="S52" s="137"/>
      <c r="T52" s="136"/>
      <c r="U52" s="136"/>
      <c r="V52" s="136"/>
      <c r="W52" s="161"/>
      <c r="X52" s="161"/>
      <c r="Y52" s="161"/>
      <c r="Z52" s="163"/>
      <c r="AA52" s="163"/>
      <c r="AB52" s="136"/>
      <c r="AC52" s="136"/>
    </row>
    <row r="53" spans="3:29" s="43" customFormat="1" ht="24" x14ac:dyDescent="0.45">
      <c r="C53" s="136"/>
      <c r="D53" s="136"/>
      <c r="E53" s="136"/>
      <c r="F53" s="134"/>
      <c r="G53" s="415" t="s">
        <v>55</v>
      </c>
      <c r="H53" s="415"/>
      <c r="I53" s="137"/>
      <c r="J53" s="136"/>
      <c r="K53" s="136"/>
      <c r="L53" s="416" t="s">
        <v>55</v>
      </c>
      <c r="M53" s="416"/>
      <c r="N53" s="416"/>
      <c r="O53" s="416"/>
      <c r="P53" s="416"/>
      <c r="Q53" s="416"/>
      <c r="R53" s="136"/>
      <c r="S53" s="137"/>
      <c r="T53" s="136"/>
      <c r="U53" s="136"/>
      <c r="V53" s="136"/>
      <c r="W53" s="417" t="s">
        <v>55</v>
      </c>
      <c r="X53" s="417"/>
      <c r="Y53" s="417"/>
      <c r="Z53" s="417"/>
      <c r="AA53" s="417"/>
      <c r="AB53" s="136"/>
      <c r="AC53" s="136"/>
    </row>
    <row r="54" spans="3:29" ht="48" customHeight="1" x14ac:dyDescent="0.2"/>
  </sheetData>
  <mergeCells count="30">
    <mergeCell ref="C12:C14"/>
    <mergeCell ref="E12:G13"/>
    <mergeCell ref="H12:H14"/>
    <mergeCell ref="I12:I14"/>
    <mergeCell ref="J12:J14"/>
    <mergeCell ref="D12:D14"/>
    <mergeCell ref="F3:AC3"/>
    <mergeCell ref="F4:AC4"/>
    <mergeCell ref="F5:AC5"/>
    <mergeCell ref="F7:AC7"/>
    <mergeCell ref="I8:AB8"/>
    <mergeCell ref="AC12:AC14"/>
    <mergeCell ref="F48:H48"/>
    <mergeCell ref="L48:Q48"/>
    <mergeCell ref="W48:AA48"/>
    <mergeCell ref="K49:R49"/>
    <mergeCell ref="K12:K13"/>
    <mergeCell ref="L12:M13"/>
    <mergeCell ref="N12:R13"/>
    <mergeCell ref="T12:Y13"/>
    <mergeCell ref="Z12:Z14"/>
    <mergeCell ref="AA12:AA14"/>
    <mergeCell ref="J40:M40"/>
    <mergeCell ref="J41:M41"/>
    <mergeCell ref="J42:M42"/>
    <mergeCell ref="F50:H50"/>
    <mergeCell ref="G53:H53"/>
    <mergeCell ref="L53:Q53"/>
    <mergeCell ref="W53:AA53"/>
    <mergeCell ref="AB12:AB14"/>
  </mergeCells>
  <printOptions horizontalCentered="1"/>
  <pageMargins left="0.19685039370078741" right="0.19685039370078741" top="0.39370078740157483" bottom="0.19685039370078741" header="0" footer="0"/>
  <pageSetup scale="19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Catalogos2024!$A$5:$A$7</xm:f>
          </x14:formula1>
          <xm:sqref>J16:J19 J34:J36</xm:sqref>
        </x14:dataValidation>
        <x14:dataValidation type="list" allowBlank="1" showInputMessage="1" showErrorMessage="1">
          <x14:formula1>
            <xm:f>INDIRECT(VLOOKUP(J16,Catalogos2024!$A$5:$B$7,2,0))</xm:f>
          </x14:formula1>
          <xm:sqref>K16:K19</xm:sqref>
        </x14:dataValidation>
        <x14:dataValidation type="list" allowBlank="1" showInputMessage="1" showErrorMessage="1">
          <x14:formula1>
            <xm:f>Catalogos2024!$A$11:$A$12</xm:f>
          </x14:formula1>
          <xm:sqref>J22:J25</xm:sqref>
        </x14:dataValidation>
        <x14:dataValidation type="list" allowBlank="1" showInputMessage="1" showErrorMessage="1">
          <x14:formula1>
            <xm:f>INDIRECT(VLOOKUP(J22,Catalogos2024!$A$11:$B$12,2,0))</xm:f>
          </x14:formula1>
          <xm:sqref>K22:K25</xm:sqref>
        </x14:dataValidation>
        <x14:dataValidation type="list" allowBlank="1" showInputMessage="1" showErrorMessage="1">
          <x14:formula1>
            <xm:f>Catalogos2024!$A$17:$A$18</xm:f>
          </x14:formula1>
          <xm:sqref>J28:J31</xm:sqref>
        </x14:dataValidation>
        <x14:dataValidation type="list" allowBlank="1" showInputMessage="1" showErrorMessage="1">
          <x14:formula1>
            <xm:f>INDIRECT(VLOOKUP(J28,Catalogos2024!$A$17:$B$18,2,0))</xm:f>
          </x14:formula1>
          <xm:sqref>K28:K31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showGridLines="0" zoomScale="90" zoomScaleNormal="90" workbookViewId="0"/>
  </sheetViews>
  <sheetFormatPr baseColWidth="10" defaultRowHeight="15" x14ac:dyDescent="0.25"/>
  <cols>
    <col min="1" max="1" width="24.25" style="51" customWidth="1"/>
    <col min="2" max="2" width="8.625" style="51" customWidth="1"/>
    <col min="3" max="3" width="4.75" style="51" customWidth="1"/>
    <col min="4" max="4" width="34.5" style="51" customWidth="1"/>
    <col min="5" max="5" width="10.125" style="51" customWidth="1"/>
    <col min="6" max="7" width="9.375" style="51" customWidth="1"/>
    <col min="8" max="8" width="38" style="51" customWidth="1"/>
    <col min="9" max="9" width="11" style="51"/>
    <col min="10" max="10" width="8.75" style="51" bestFit="1" customWidth="1"/>
    <col min="11" max="11" width="26.875" style="51" customWidth="1"/>
    <col min="12" max="12" width="9" style="51" customWidth="1"/>
    <col min="13" max="13" width="6.25" style="51" customWidth="1"/>
    <col min="14" max="16384" width="11" style="51"/>
  </cols>
  <sheetData>
    <row r="1" spans="1:13" ht="24" x14ac:dyDescent="0.45">
      <c r="A1" s="49" t="s">
        <v>88</v>
      </c>
      <c r="B1" s="49"/>
      <c r="C1" s="50"/>
      <c r="D1" s="49" t="s">
        <v>89</v>
      </c>
      <c r="E1" s="49"/>
      <c r="F1" s="49"/>
      <c r="G1" s="49"/>
      <c r="H1" s="49"/>
      <c r="I1" s="49"/>
      <c r="J1" s="49"/>
      <c r="K1" s="49"/>
      <c r="L1" s="49"/>
      <c r="M1" s="50"/>
    </row>
    <row r="2" spans="1:13" ht="18" x14ac:dyDescent="0.35">
      <c r="A2" s="52"/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x14ac:dyDescent="0.25">
      <c r="A3" s="54"/>
      <c r="B3" s="55"/>
      <c r="C3" s="53"/>
      <c r="D3" s="56" t="s">
        <v>133</v>
      </c>
      <c r="F3" s="54"/>
      <c r="H3" s="56" t="s">
        <v>135</v>
      </c>
      <c r="K3" s="56" t="s">
        <v>137</v>
      </c>
      <c r="M3" s="53"/>
    </row>
    <row r="4" spans="1:13" ht="15.75" thickBot="1" x14ac:dyDescent="0.3">
      <c r="A4" s="57" t="s">
        <v>90</v>
      </c>
      <c r="B4" s="58" t="s">
        <v>91</v>
      </c>
      <c r="C4" s="53"/>
      <c r="D4" s="59" t="s">
        <v>134</v>
      </c>
      <c r="E4" s="58" t="s">
        <v>91</v>
      </c>
      <c r="H4" s="59" t="s">
        <v>136</v>
      </c>
      <c r="I4" s="58" t="s">
        <v>91</v>
      </c>
      <c r="J4" s="60"/>
      <c r="K4" s="59" t="s">
        <v>138</v>
      </c>
      <c r="L4" s="58" t="s">
        <v>91</v>
      </c>
      <c r="M4" s="53"/>
    </row>
    <row r="5" spans="1:13" x14ac:dyDescent="0.25">
      <c r="A5" s="61" t="s">
        <v>116</v>
      </c>
      <c r="B5" s="62" t="s">
        <v>134</v>
      </c>
      <c r="C5" s="53"/>
      <c r="D5" s="63" t="s">
        <v>119</v>
      </c>
      <c r="E5" s="64" t="s">
        <v>92</v>
      </c>
      <c r="F5" s="55"/>
      <c r="G5" s="55"/>
      <c r="H5" s="63" t="s">
        <v>119</v>
      </c>
      <c r="I5" s="64" t="s">
        <v>92</v>
      </c>
      <c r="J5" s="65"/>
      <c r="K5" s="63" t="s">
        <v>128</v>
      </c>
      <c r="L5" s="64"/>
      <c r="M5" s="53"/>
    </row>
    <row r="6" spans="1:13" x14ac:dyDescent="0.25">
      <c r="A6" s="61" t="s">
        <v>117</v>
      </c>
      <c r="B6" s="62" t="s">
        <v>136</v>
      </c>
      <c r="C6" s="53"/>
      <c r="D6" s="63" t="s">
        <v>120</v>
      </c>
      <c r="E6" s="64" t="s">
        <v>93</v>
      </c>
      <c r="F6" s="55"/>
      <c r="G6" s="55"/>
      <c r="H6" s="63" t="s">
        <v>120</v>
      </c>
      <c r="I6" s="64" t="s">
        <v>93</v>
      </c>
      <c r="J6" s="65"/>
      <c r="K6" s="63" t="s">
        <v>129</v>
      </c>
      <c r="L6" s="64"/>
      <c r="M6" s="53"/>
    </row>
    <row r="7" spans="1:13" x14ac:dyDescent="0.25">
      <c r="A7" s="61" t="s">
        <v>118</v>
      </c>
      <c r="B7" s="62" t="s">
        <v>138</v>
      </c>
      <c r="C7" s="53"/>
      <c r="D7" s="63" t="s">
        <v>121</v>
      </c>
      <c r="E7" s="64" t="s">
        <v>94</v>
      </c>
      <c r="F7" s="55"/>
      <c r="G7" s="55"/>
      <c r="H7" s="63" t="s">
        <v>121</v>
      </c>
      <c r="I7" s="64" t="s">
        <v>94</v>
      </c>
      <c r="J7" s="65"/>
      <c r="K7" s="63" t="s">
        <v>130</v>
      </c>
      <c r="L7" s="64"/>
      <c r="M7" s="53"/>
    </row>
    <row r="8" spans="1:13" x14ac:dyDescent="0.25">
      <c r="A8" s="55"/>
      <c r="B8" s="55"/>
      <c r="C8" s="53"/>
      <c r="D8" s="63" t="s">
        <v>122</v>
      </c>
      <c r="E8" s="64" t="s">
        <v>95</v>
      </c>
      <c r="F8" s="55"/>
      <c r="G8" s="55"/>
      <c r="H8" s="63" t="s">
        <v>122</v>
      </c>
      <c r="I8" s="64" t="s">
        <v>95</v>
      </c>
      <c r="J8" s="65"/>
      <c r="K8" s="63" t="s">
        <v>131</v>
      </c>
      <c r="L8" s="64"/>
      <c r="M8" s="53"/>
    </row>
    <row r="9" spans="1:13" x14ac:dyDescent="0.25">
      <c r="A9" s="55"/>
      <c r="B9" s="55"/>
      <c r="C9" s="53"/>
      <c r="D9" s="63" t="s">
        <v>123</v>
      </c>
      <c r="E9" s="64" t="s">
        <v>96</v>
      </c>
      <c r="F9" s="55"/>
      <c r="G9" s="55"/>
      <c r="H9" s="63" t="s">
        <v>123</v>
      </c>
      <c r="I9" s="64" t="s">
        <v>96</v>
      </c>
      <c r="J9" s="65"/>
      <c r="K9" s="63" t="s">
        <v>132</v>
      </c>
      <c r="L9" s="64" t="s">
        <v>101</v>
      </c>
      <c r="M9" s="53"/>
    </row>
    <row r="10" spans="1:13" ht="15.75" thickBot="1" x14ac:dyDescent="0.3">
      <c r="A10" s="57" t="s">
        <v>102</v>
      </c>
      <c r="B10" s="58" t="s">
        <v>91</v>
      </c>
      <c r="C10" s="53"/>
      <c r="D10" s="63" t="s">
        <v>124</v>
      </c>
      <c r="E10" s="64" t="s">
        <v>97</v>
      </c>
      <c r="F10" s="55"/>
      <c r="G10" s="55"/>
      <c r="H10" s="63" t="s">
        <v>124</v>
      </c>
      <c r="I10" s="64" t="s">
        <v>97</v>
      </c>
      <c r="J10" s="65"/>
      <c r="L10" s="66"/>
      <c r="M10" s="53"/>
    </row>
    <row r="11" spans="1:13" x14ac:dyDescent="0.25">
      <c r="A11" s="61" t="s">
        <v>116</v>
      </c>
      <c r="B11" s="62" t="s">
        <v>139</v>
      </c>
      <c r="C11" s="53"/>
      <c r="D11" s="63" t="s">
        <v>125</v>
      </c>
      <c r="E11" s="64" t="s">
        <v>98</v>
      </c>
      <c r="F11" s="55"/>
      <c r="G11" s="55"/>
      <c r="H11" s="63" t="s">
        <v>125</v>
      </c>
      <c r="I11" s="64" t="s">
        <v>98</v>
      </c>
      <c r="J11" s="65"/>
      <c r="L11" s="66"/>
      <c r="M11" s="53"/>
    </row>
    <row r="12" spans="1:13" x14ac:dyDescent="0.25">
      <c r="A12" s="61" t="s">
        <v>117</v>
      </c>
      <c r="B12" s="62" t="s">
        <v>141</v>
      </c>
      <c r="C12" s="53"/>
      <c r="D12" s="63" t="s">
        <v>126</v>
      </c>
      <c r="E12" s="64" t="s">
        <v>99</v>
      </c>
      <c r="F12" s="55"/>
      <c r="G12" s="55"/>
      <c r="H12" s="63" t="s">
        <v>126</v>
      </c>
      <c r="I12" s="64" t="s">
        <v>99</v>
      </c>
      <c r="J12" s="65"/>
      <c r="L12" s="66"/>
      <c r="M12" s="53"/>
    </row>
    <row r="13" spans="1:13" x14ac:dyDescent="0.25">
      <c r="A13" s="61"/>
      <c r="B13" s="62"/>
      <c r="C13" s="53"/>
      <c r="D13" s="63" t="s">
        <v>127</v>
      </c>
      <c r="E13" s="64" t="s">
        <v>100</v>
      </c>
      <c r="F13" s="55"/>
      <c r="G13" s="55"/>
      <c r="H13" s="63" t="s">
        <v>127</v>
      </c>
      <c r="I13" s="64" t="s">
        <v>100</v>
      </c>
      <c r="J13" s="65"/>
      <c r="L13" s="66"/>
      <c r="M13" s="53"/>
    </row>
    <row r="14" spans="1:13" x14ac:dyDescent="0.25">
      <c r="A14" s="55"/>
      <c r="B14" s="55"/>
      <c r="C14" s="53"/>
      <c r="E14" s="66"/>
      <c r="F14" s="55"/>
      <c r="G14" s="55"/>
      <c r="I14" s="66"/>
      <c r="J14" s="65"/>
      <c r="L14" s="66"/>
      <c r="M14" s="53"/>
    </row>
    <row r="15" spans="1:13" x14ac:dyDescent="0.25">
      <c r="A15" s="55"/>
      <c r="B15" s="55"/>
      <c r="C15" s="53"/>
      <c r="E15" s="66"/>
      <c r="I15" s="66"/>
      <c r="J15" s="65"/>
      <c r="L15" s="66"/>
      <c r="M15" s="53"/>
    </row>
    <row r="16" spans="1:13" ht="15.75" thickBot="1" x14ac:dyDescent="0.3">
      <c r="A16" s="57" t="s">
        <v>104</v>
      </c>
      <c r="B16" s="58" t="s">
        <v>91</v>
      </c>
      <c r="C16" s="53"/>
      <c r="D16" s="56" t="s">
        <v>140</v>
      </c>
      <c r="F16" s="54"/>
      <c r="H16" s="56" t="s">
        <v>142</v>
      </c>
      <c r="K16" s="56" t="s">
        <v>144</v>
      </c>
      <c r="L16" s="66"/>
      <c r="M16" s="53"/>
    </row>
    <row r="17" spans="1:13" ht="15.75" thickBot="1" x14ac:dyDescent="0.3">
      <c r="A17" s="61" t="s">
        <v>116</v>
      </c>
      <c r="B17" s="62" t="s">
        <v>145</v>
      </c>
      <c r="C17" s="53"/>
      <c r="D17" s="59" t="s">
        <v>139</v>
      </c>
      <c r="E17" s="58" t="s">
        <v>91</v>
      </c>
      <c r="H17" s="59" t="s">
        <v>141</v>
      </c>
      <c r="I17" s="58" t="s">
        <v>91</v>
      </c>
      <c r="J17" s="65"/>
      <c r="K17" s="59" t="s">
        <v>143</v>
      </c>
      <c r="L17" s="58" t="s">
        <v>91</v>
      </c>
      <c r="M17" s="53"/>
    </row>
    <row r="18" spans="1:13" x14ac:dyDescent="0.25">
      <c r="A18" s="61" t="s">
        <v>117</v>
      </c>
      <c r="B18" s="62" t="s">
        <v>147</v>
      </c>
      <c r="C18" s="53"/>
      <c r="D18" s="63" t="s">
        <v>151</v>
      </c>
      <c r="E18" s="64" t="s">
        <v>105</v>
      </c>
      <c r="H18" s="63" t="s">
        <v>151</v>
      </c>
      <c r="I18" s="64" t="s">
        <v>105</v>
      </c>
      <c r="J18" s="60"/>
      <c r="K18" s="63"/>
      <c r="L18" s="64"/>
      <c r="M18" s="53"/>
    </row>
    <row r="19" spans="1:13" x14ac:dyDescent="0.25">
      <c r="A19" s="61"/>
      <c r="B19" s="62"/>
      <c r="C19" s="53"/>
      <c r="D19" s="63" t="s">
        <v>152</v>
      </c>
      <c r="E19" s="64" t="s">
        <v>106</v>
      </c>
      <c r="F19" s="55"/>
      <c r="G19" s="55"/>
      <c r="H19" s="63" t="s">
        <v>152</v>
      </c>
      <c r="I19" s="64" t="s">
        <v>106</v>
      </c>
      <c r="J19" s="65"/>
      <c r="L19" s="66"/>
      <c r="M19" s="53"/>
    </row>
    <row r="20" spans="1:13" x14ac:dyDescent="0.25">
      <c r="C20" s="53"/>
      <c r="D20" s="63" t="s">
        <v>153</v>
      </c>
      <c r="E20" s="64" t="s">
        <v>107</v>
      </c>
      <c r="F20" s="55"/>
      <c r="G20" s="55"/>
      <c r="H20" s="63" t="s">
        <v>153</v>
      </c>
      <c r="I20" s="64" t="s">
        <v>107</v>
      </c>
      <c r="J20" s="65"/>
      <c r="L20" s="66"/>
      <c r="M20" s="53"/>
    </row>
    <row r="21" spans="1:13" x14ac:dyDescent="0.25">
      <c r="C21" s="53"/>
      <c r="D21" s="63" t="s">
        <v>154</v>
      </c>
      <c r="E21" s="64" t="s">
        <v>108</v>
      </c>
      <c r="F21" s="55"/>
      <c r="G21" s="55"/>
      <c r="H21" s="63" t="s">
        <v>154</v>
      </c>
      <c r="I21" s="64" t="s">
        <v>108</v>
      </c>
      <c r="J21" s="65"/>
      <c r="L21" s="66"/>
      <c r="M21" s="53"/>
    </row>
    <row r="22" spans="1:13" x14ac:dyDescent="0.25">
      <c r="C22" s="67"/>
      <c r="D22" s="63" t="s">
        <v>155</v>
      </c>
      <c r="E22" s="64" t="s">
        <v>109</v>
      </c>
      <c r="F22" s="55"/>
      <c r="G22" s="55"/>
      <c r="H22" s="63" t="s">
        <v>155</v>
      </c>
      <c r="I22" s="64" t="s">
        <v>109</v>
      </c>
      <c r="J22" s="65"/>
      <c r="L22" s="66"/>
      <c r="M22" s="67"/>
    </row>
    <row r="23" spans="1:13" x14ac:dyDescent="0.25">
      <c r="C23" s="67"/>
      <c r="D23" s="63"/>
      <c r="E23" s="64"/>
      <c r="F23" s="55"/>
      <c r="G23" s="55"/>
      <c r="H23" s="63"/>
      <c r="I23" s="64"/>
      <c r="J23" s="65"/>
      <c r="L23" s="66"/>
      <c r="M23" s="67"/>
    </row>
    <row r="24" spans="1:13" x14ac:dyDescent="0.25">
      <c r="C24" s="67"/>
      <c r="E24" s="66"/>
      <c r="F24" s="55"/>
      <c r="G24" s="55"/>
      <c r="I24" s="66"/>
      <c r="J24" s="65"/>
      <c r="L24" s="66"/>
      <c r="M24" s="67"/>
    </row>
    <row r="25" spans="1:13" x14ac:dyDescent="0.25">
      <c r="C25" s="67"/>
      <c r="E25" s="66"/>
      <c r="F25" s="55"/>
      <c r="I25" s="66"/>
      <c r="J25" s="65"/>
      <c r="L25" s="66"/>
      <c r="M25" s="67"/>
    </row>
    <row r="26" spans="1:13" x14ac:dyDescent="0.25">
      <c r="C26" s="67"/>
      <c r="D26" s="56" t="s">
        <v>146</v>
      </c>
      <c r="F26" s="54"/>
      <c r="H26" s="56" t="s">
        <v>148</v>
      </c>
      <c r="K26" s="56" t="s">
        <v>150</v>
      </c>
      <c r="M26" s="67"/>
    </row>
    <row r="27" spans="1:13" ht="15.75" thickBot="1" x14ac:dyDescent="0.3">
      <c r="C27" s="67"/>
      <c r="D27" s="59" t="s">
        <v>145</v>
      </c>
      <c r="E27" s="58" t="s">
        <v>91</v>
      </c>
      <c r="F27" s="55"/>
      <c r="H27" s="59" t="s">
        <v>147</v>
      </c>
      <c r="I27" s="58" t="s">
        <v>91</v>
      </c>
      <c r="J27" s="68"/>
      <c r="K27" s="59" t="s">
        <v>149</v>
      </c>
      <c r="L27" s="58" t="s">
        <v>91</v>
      </c>
      <c r="M27" s="67"/>
    </row>
    <row r="28" spans="1:13" x14ac:dyDescent="0.25">
      <c r="C28" s="67"/>
      <c r="D28" s="63" t="s">
        <v>156</v>
      </c>
      <c r="E28" s="64" t="s">
        <v>110</v>
      </c>
      <c r="F28" s="55"/>
      <c r="H28" s="63" t="s">
        <v>156</v>
      </c>
      <c r="I28" s="64" t="s">
        <v>110</v>
      </c>
      <c r="J28" s="60"/>
      <c r="K28" s="63"/>
      <c r="L28" s="64"/>
      <c r="M28" s="67"/>
    </row>
    <row r="29" spans="1:13" x14ac:dyDescent="0.25">
      <c r="C29" s="67"/>
      <c r="D29" s="63" t="s">
        <v>157</v>
      </c>
      <c r="E29" s="64" t="s">
        <v>111</v>
      </c>
      <c r="H29" s="63" t="s">
        <v>157</v>
      </c>
      <c r="I29" s="64" t="s">
        <v>111</v>
      </c>
      <c r="J29" s="65"/>
      <c r="L29" s="66"/>
      <c r="M29" s="67"/>
    </row>
    <row r="30" spans="1:13" x14ac:dyDescent="0.25">
      <c r="C30" s="67"/>
      <c r="D30" s="63" t="s">
        <v>158</v>
      </c>
      <c r="E30" s="64" t="s">
        <v>112</v>
      </c>
      <c r="H30" s="63" t="s">
        <v>158</v>
      </c>
      <c r="I30" s="64" t="s">
        <v>112</v>
      </c>
      <c r="J30" s="65"/>
      <c r="M30" s="67"/>
    </row>
    <row r="31" spans="1:13" x14ac:dyDescent="0.25">
      <c r="C31" s="67"/>
      <c r="D31" s="63" t="s">
        <v>159</v>
      </c>
      <c r="E31" s="64" t="s">
        <v>113</v>
      </c>
      <c r="H31" s="63" t="s">
        <v>159</v>
      </c>
      <c r="I31" s="64" t="s">
        <v>113</v>
      </c>
      <c r="J31" s="65"/>
      <c r="M31" s="67"/>
    </row>
    <row r="32" spans="1:13" x14ac:dyDescent="0.25">
      <c r="C32" s="67"/>
      <c r="D32" s="63" t="s">
        <v>160</v>
      </c>
      <c r="E32" s="64" t="s">
        <v>114</v>
      </c>
      <c r="H32" s="63" t="s">
        <v>160</v>
      </c>
      <c r="I32" s="64" t="s">
        <v>114</v>
      </c>
      <c r="J32" s="65"/>
      <c r="M32" s="67"/>
    </row>
    <row r="33" spans="1:13" x14ac:dyDescent="0.25">
      <c r="C33" s="67"/>
      <c r="D33" s="63" t="s">
        <v>161</v>
      </c>
      <c r="E33" s="64" t="s">
        <v>115</v>
      </c>
      <c r="H33" s="63" t="s">
        <v>161</v>
      </c>
      <c r="I33" s="64" t="s">
        <v>115</v>
      </c>
      <c r="J33" s="65"/>
      <c r="M33" s="67"/>
    </row>
    <row r="34" spans="1:13" x14ac:dyDescent="0.25">
      <c r="C34" s="67"/>
      <c r="E34" s="66"/>
      <c r="I34" s="66"/>
      <c r="J34" s="66"/>
      <c r="M34" s="67"/>
    </row>
    <row r="35" spans="1:13" x14ac:dyDescent="0.25">
      <c r="C35" s="67"/>
      <c r="E35" s="66"/>
      <c r="I35" s="66"/>
      <c r="J35" s="66"/>
      <c r="M35" s="67"/>
    </row>
    <row r="36" spans="1:13" x14ac:dyDescent="0.25">
      <c r="C36" s="67"/>
      <c r="J36" s="66"/>
      <c r="M36" s="67"/>
    </row>
    <row r="37" spans="1:13" x14ac:dyDescent="0.25">
      <c r="C37" s="67"/>
      <c r="M37" s="67"/>
    </row>
    <row r="38" spans="1:13" x14ac:dyDescent="0.25">
      <c r="A38" s="73" t="s">
        <v>56</v>
      </c>
      <c r="C38" s="67"/>
      <c r="M38" s="67"/>
    </row>
    <row r="39" spans="1:13" ht="20.25" x14ac:dyDescent="0.25">
      <c r="A39" s="71" t="s">
        <v>166</v>
      </c>
      <c r="B39" s="69" t="s">
        <v>163</v>
      </c>
      <c r="C39" s="67"/>
      <c r="D39" s="69"/>
      <c r="M39" s="67"/>
    </row>
    <row r="40" spans="1:13" ht="20.25" x14ac:dyDescent="0.25">
      <c r="A40" s="72" t="s">
        <v>167</v>
      </c>
      <c r="B40" s="70" t="s">
        <v>164</v>
      </c>
      <c r="C40" s="67"/>
      <c r="D40" s="70"/>
      <c r="M40" s="67"/>
    </row>
    <row r="41" spans="1:13" ht="20.25" x14ac:dyDescent="0.25">
      <c r="A41" s="71" t="s">
        <v>168</v>
      </c>
      <c r="B41" s="69" t="s">
        <v>165</v>
      </c>
      <c r="C41" s="67"/>
      <c r="D41" s="69"/>
      <c r="M41" s="67"/>
    </row>
    <row r="42" spans="1:13" x14ac:dyDescent="0.25">
      <c r="C42" s="67"/>
      <c r="M42" s="67"/>
    </row>
    <row r="43" spans="1:13" x14ac:dyDescent="0.25">
      <c r="C43" s="67"/>
      <c r="M43" s="67"/>
    </row>
    <row r="44" spans="1:13" x14ac:dyDescent="0.25">
      <c r="C44" s="67"/>
      <c r="M44" s="67"/>
    </row>
    <row r="45" spans="1:13" x14ac:dyDescent="0.25">
      <c r="C45" s="67"/>
      <c r="M45" s="67"/>
    </row>
    <row r="46" spans="1:13" x14ac:dyDescent="0.25">
      <c r="C46" s="67"/>
      <c r="M46" s="67"/>
    </row>
    <row r="47" spans="1:13" x14ac:dyDescent="0.25">
      <c r="C47" s="67"/>
      <c r="M47" s="67"/>
    </row>
    <row r="48" spans="1:13" x14ac:dyDescent="0.25">
      <c r="C48" s="67"/>
      <c r="M48" s="67"/>
    </row>
    <row r="49" spans="3:13" x14ac:dyDescent="0.25">
      <c r="C49" s="67"/>
      <c r="M49" s="67"/>
    </row>
    <row r="50" spans="3:13" x14ac:dyDescent="0.25">
      <c r="C50" s="67"/>
      <c r="M50" s="67"/>
    </row>
    <row r="51" spans="3:13" x14ac:dyDescent="0.25">
      <c r="C51" s="67"/>
      <c r="M51" s="67"/>
    </row>
    <row r="52" spans="3:13" x14ac:dyDescent="0.25">
      <c r="C52" s="67"/>
      <c r="M52" s="67"/>
    </row>
    <row r="53" spans="3:13" x14ac:dyDescent="0.25">
      <c r="C53" s="67"/>
      <c r="M53" s="67"/>
    </row>
    <row r="54" spans="3:13" x14ac:dyDescent="0.25">
      <c r="C54" s="67"/>
      <c r="M54" s="67"/>
    </row>
    <row r="55" spans="3:13" x14ac:dyDescent="0.25">
      <c r="C55" s="67"/>
      <c r="M55" s="67"/>
    </row>
    <row r="56" spans="3:13" x14ac:dyDescent="0.25">
      <c r="C56" s="67"/>
      <c r="M56" s="67"/>
    </row>
    <row r="57" spans="3:13" x14ac:dyDescent="0.25">
      <c r="C57" s="67"/>
      <c r="M57" s="67"/>
    </row>
    <row r="58" spans="3:13" x14ac:dyDescent="0.25">
      <c r="C58" s="67"/>
      <c r="M58" s="67"/>
    </row>
    <row r="59" spans="3:13" x14ac:dyDescent="0.25">
      <c r="C59" s="67"/>
      <c r="M59" s="67"/>
    </row>
    <row r="60" spans="3:13" x14ac:dyDescent="0.25">
      <c r="C60" s="67"/>
      <c r="M60" s="67"/>
    </row>
    <row r="61" spans="3:13" x14ac:dyDescent="0.25">
      <c r="C61" s="67"/>
      <c r="M61" s="67"/>
    </row>
    <row r="62" spans="3:13" x14ac:dyDescent="0.25">
      <c r="C62" s="67"/>
      <c r="M62" s="67"/>
    </row>
    <row r="63" spans="3:13" x14ac:dyDescent="0.25">
      <c r="C63" s="67"/>
      <c r="M63" s="67"/>
    </row>
    <row r="64" spans="3:13" x14ac:dyDescent="0.25">
      <c r="C64" s="67"/>
      <c r="M64" s="67"/>
    </row>
    <row r="65" spans="3:13" x14ac:dyDescent="0.25">
      <c r="C65" s="67"/>
      <c r="M65" s="67"/>
    </row>
    <row r="66" spans="3:13" x14ac:dyDescent="0.25">
      <c r="C66" s="67"/>
      <c r="M66" s="67"/>
    </row>
    <row r="67" spans="3:13" x14ac:dyDescent="0.25">
      <c r="C67" s="67"/>
      <c r="M67" s="67"/>
    </row>
    <row r="68" spans="3:13" x14ac:dyDescent="0.25">
      <c r="C68" s="67"/>
      <c r="M68" s="67"/>
    </row>
    <row r="69" spans="3:13" x14ac:dyDescent="0.25">
      <c r="C69" s="67"/>
      <c r="M69" s="67"/>
    </row>
    <row r="70" spans="3:13" x14ac:dyDescent="0.25">
      <c r="C70" s="67"/>
      <c r="M70" s="67"/>
    </row>
    <row r="71" spans="3:13" x14ac:dyDescent="0.25">
      <c r="C71" s="67"/>
      <c r="M71" s="67"/>
    </row>
    <row r="72" spans="3:13" x14ac:dyDescent="0.25">
      <c r="C72" s="67"/>
      <c r="M72" s="67"/>
    </row>
    <row r="73" spans="3:13" x14ac:dyDescent="0.25">
      <c r="C73" s="67"/>
      <c r="M73" s="67"/>
    </row>
    <row r="74" spans="3:13" x14ac:dyDescent="0.25">
      <c r="C74" s="67"/>
      <c r="M74" s="67"/>
    </row>
    <row r="75" spans="3:13" x14ac:dyDescent="0.25">
      <c r="C75" s="67"/>
      <c r="M75" s="67"/>
    </row>
    <row r="76" spans="3:13" x14ac:dyDescent="0.25">
      <c r="C76" s="67"/>
      <c r="M76" s="67"/>
    </row>
    <row r="77" spans="3:13" x14ac:dyDescent="0.25">
      <c r="C77" s="67"/>
      <c r="M77" s="67"/>
    </row>
    <row r="78" spans="3:13" x14ac:dyDescent="0.25">
      <c r="C78" s="67"/>
      <c r="M78" s="6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19</vt:i4>
      </vt:variant>
    </vt:vector>
  </HeadingPairs>
  <TitlesOfParts>
    <vt:vector size="23" baseType="lpstr">
      <vt:lpstr>Resumen general</vt:lpstr>
      <vt:lpstr>Acciones rurales</vt:lpstr>
      <vt:lpstr>Acciones urbanas</vt:lpstr>
      <vt:lpstr>Catalogos2024</vt:lpstr>
      <vt:lpstr>'Acciones urbanas'!Área_de_impresión</vt:lpstr>
      <vt:lpstr>M_AP</vt:lpstr>
      <vt:lpstr>ME_ALC</vt:lpstr>
      <vt:lpstr>ME_AP</vt:lpstr>
      <vt:lpstr>ME_SAN</vt:lpstr>
      <vt:lpstr>N_ALC</vt:lpstr>
      <vt:lpstr>N_AP</vt:lpstr>
      <vt:lpstr>N_SAN</vt:lpstr>
      <vt:lpstr>NVA_ALC</vt:lpstr>
      <vt:lpstr>NVA_AP</vt:lpstr>
      <vt:lpstr>NVA_SAN</vt:lpstr>
      <vt:lpstr>R_ALC</vt:lpstr>
      <vt:lpstr>R_AP</vt:lpstr>
      <vt:lpstr>R_SAN</vt:lpstr>
      <vt:lpstr>REHA_ALC</vt:lpstr>
      <vt:lpstr>REHA_AP</vt:lpstr>
      <vt:lpstr>REHA_SAN</vt:lpstr>
      <vt:lpstr>'Acciones rurales'!Títulos_a_imprimir</vt:lpstr>
      <vt:lpstr>'Acciones urbanas'!Títulos_a_imprimir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PLANEACION</dc:creator>
  <cp:lastModifiedBy>123</cp:lastModifiedBy>
  <cp:lastPrinted>2025-10-17T18:34:16Z</cp:lastPrinted>
  <dcterms:created xsi:type="dcterms:W3CDTF">2023-02-21T14:46:53Z</dcterms:created>
  <dcterms:modified xsi:type="dcterms:W3CDTF">2025-10-23T19:46:51Z</dcterms:modified>
</cp:coreProperties>
</file>